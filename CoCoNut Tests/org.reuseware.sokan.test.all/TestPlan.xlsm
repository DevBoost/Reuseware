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DieseArbeitsmappe" defaultThemeVersion="124226"/>
  <bookViews>
    <workbookView xWindow="5355" yWindow="3840" windowWidth="11685" windowHeight="11220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T67" i="1"/>
  <c r="T66"/>
  <c r="T65"/>
  <c r="T64"/>
  <c r="T63"/>
  <c r="T62"/>
  <c r="T61"/>
  <c r="T60"/>
  <c r="T59"/>
  <c r="X8"/>
  <c r="X9" s="1"/>
  <c r="X10" s="1"/>
  <c r="X11" s="1"/>
  <c r="X12" s="1"/>
  <c r="X14" s="1"/>
  <c r="X16" s="1"/>
  <c r="X18" s="1"/>
  <c r="X20" s="1"/>
  <c r="X22" s="1"/>
  <c r="R53"/>
  <c r="U54"/>
  <c r="T54"/>
  <c r="T53"/>
  <c r="S54"/>
  <c r="S53"/>
  <c r="S52"/>
  <c r="S51"/>
  <c r="S50"/>
  <c r="S49"/>
  <c r="S48"/>
  <c r="S47"/>
  <c r="S46"/>
  <c r="S45"/>
  <c r="S40"/>
  <c r="S41"/>
  <c r="S42"/>
  <c r="S43"/>
  <c r="S44"/>
  <c r="J54"/>
  <c r="J53"/>
  <c r="J52"/>
  <c r="J51"/>
  <c r="J50"/>
  <c r="J49"/>
  <c r="J48"/>
  <c r="J47"/>
  <c r="J46"/>
  <c r="J45"/>
  <c r="J42"/>
  <c r="J41"/>
  <c r="J40"/>
  <c r="J44"/>
  <c r="Q54"/>
  <c r="Q53"/>
  <c r="P54"/>
  <c r="P53"/>
  <c r="P34"/>
  <c r="O54"/>
  <c r="O53"/>
  <c r="O39"/>
  <c r="O38"/>
  <c r="O35"/>
  <c r="O34"/>
  <c r="O33"/>
  <c r="O32"/>
  <c r="N54"/>
  <c r="N53"/>
  <c r="N52"/>
  <c r="N51"/>
  <c r="N50"/>
  <c r="N39"/>
  <c r="N38"/>
  <c r="N37"/>
  <c r="N35"/>
  <c r="N34"/>
  <c r="N33"/>
  <c r="N32"/>
  <c r="N31"/>
  <c r="M54"/>
  <c r="M53"/>
  <c r="M52"/>
  <c r="M51"/>
  <c r="M50"/>
  <c r="M39"/>
  <c r="M38"/>
  <c r="M37"/>
  <c r="M36"/>
  <c r="M35"/>
  <c r="M34"/>
  <c r="M33"/>
  <c r="M32"/>
  <c r="M31"/>
  <c r="M30"/>
  <c r="M29"/>
  <c r="L54"/>
  <c r="L53"/>
  <c r="L52"/>
  <c r="L51"/>
  <c r="L50"/>
  <c r="L49"/>
  <c r="L48"/>
  <c r="L47"/>
  <c r="L46"/>
  <c r="L45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13"/>
  <c r="L12"/>
  <c r="K54"/>
  <c r="K53"/>
  <c r="K52"/>
  <c r="K51"/>
  <c r="K50"/>
  <c r="K49"/>
  <c r="K48"/>
  <c r="K47"/>
  <c r="K46"/>
  <c r="K45"/>
  <c r="K44"/>
  <c r="K43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3"/>
  <c r="K12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2"/>
  <c r="J13"/>
</calcChain>
</file>

<file path=xl/sharedStrings.xml><?xml version="1.0" encoding="utf-8"?>
<sst xmlns="http://schemas.openxmlformats.org/spreadsheetml/2006/main" count="287" uniqueCount="193">
  <si>
    <t>#</t>
  </si>
  <si>
    <t>trivial</t>
  </si>
  <si>
    <t>list</t>
  </si>
  <si>
    <t>complexPos</t>
  </si>
  <si>
    <t>complexNeg</t>
  </si>
  <si>
    <t>true</t>
  </si>
  <si>
    <t>false</t>
  </si>
  <si>
    <t>builder gets triggered by single artefact "A"</t>
  </si>
  <si>
    <t>dualTrivial</t>
  </si>
  <si>
    <t>dualNormal</t>
  </si>
  <si>
    <t>dualComplex</t>
  </si>
  <si>
    <t>multi</t>
  </si>
  <si>
    <t>builder gets triggered by two artefacts</t>
  </si>
  <si>
    <t>null</t>
  </si>
  <si>
    <t>{}</t>
  </si>
  <si>
    <t>&lt;&gt;</t>
  </si>
  <si>
    <t>&lt;A2=&lt;A2={TI}&gt;&gt;</t>
  </si>
  <si>
    <t>&lt;A3=&lt;B3={TI}&gt;&gt;</t>
  </si>
  <si>
    <t>&lt;A4=&lt;B4={TI}&gt;&gt;</t>
  </si>
  <si>
    <t>&lt;A5=&lt;B5={TI}&gt;&gt;</t>
  </si>
  <si>
    <t>&lt;A6=&lt;B6={TI}&gt;&gt;</t>
  </si>
  <si>
    <t>&lt;A7=&lt;B7={TI}&gt;&gt;</t>
  </si>
  <si>
    <t>&lt;A8=&lt;B8={TI}&gt;&gt;</t>
  </si>
  <si>
    <t>&lt;A9=&lt;B9={TI}&gt;&gt;</t>
  </si>
  <si>
    <t>&lt;A10=&lt;A10={TI}&gt;&gt;</t>
  </si>
  <si>
    <t>&lt;A11=&lt;A11={TI},B11={TI}&gt;&gt;</t>
  </si>
  <si>
    <t>&lt;A12=&lt;B12={TI}&gt;&gt;</t>
  </si>
  <si>
    <t>&lt;A13=&lt;B13={TI}&gt;&gt;</t>
  </si>
  <si>
    <t>&lt;A14=&lt;B14={TI}&gt;&gt;</t>
  </si>
  <si>
    <t>&lt;A15=&lt;B15={TI}&gt;&gt;</t>
  </si>
  <si>
    <t>&lt;A16=&lt;B16={TI}&gt;&gt;</t>
  </si>
  <si>
    <t>&lt;A17=&lt;B17={TI},C17={TI}&gt;&gt;</t>
  </si>
  <si>
    <t>&lt;A18=&lt;B18={TI},C18={TI}&gt;&gt;</t>
  </si>
  <si>
    <t>&lt;A19=&lt;B19={TI},C19={TI}&gt;&gt;</t>
  </si>
  <si>
    <t>&lt;A20=&lt;B20={TI},C20={TI}&gt;&gt;</t>
  </si>
  <si>
    <t>&lt;A21=&lt;B21={TI},C21={TI}&gt;&gt;</t>
  </si>
  <si>
    <t>&lt;A22=&lt;B22={TI},C22={TI}&gt;&gt;</t>
  </si>
  <si>
    <t>&lt;A23=&lt;B23={TI},C23={TI}&gt;&gt;</t>
  </si>
  <si>
    <t>&lt;A24=&lt;B24={TI},C24={TI}&gt;&gt;</t>
  </si>
  <si>
    <t>&lt;A28=&lt;B28={TI},C28={TI}&gt;&gt;</t>
  </si>
  <si>
    <t>&lt;A29=&lt;B29={TI},C29={TI}&gt;&gt;</t>
  </si>
  <si>
    <t>&lt;A30=&lt;B30={TI},C30={TI}&gt;&gt;</t>
  </si>
  <si>
    <t>&lt;A34=&lt;B34={TI},C34={TI}&gt;&gt;</t>
  </si>
  <si>
    <t>&lt;A35=&lt;B35={TI},C35={TI}&gt;&gt;</t>
  </si>
  <si>
    <t>{B3}</t>
  </si>
  <si>
    <t>{B4}</t>
  </si>
  <si>
    <t>{B5}</t>
  </si>
  <si>
    <t>{B6,C6}</t>
  </si>
  <si>
    <t>{B7,C7}</t>
  </si>
  <si>
    <t>{B8,C8}</t>
  </si>
  <si>
    <t>{B9,C9}</t>
  </si>
  <si>
    <t>{B11}</t>
  </si>
  <si>
    <t>{B12}</t>
  </si>
  <si>
    <t>{B13}</t>
  </si>
  <si>
    <t>{B14}</t>
  </si>
  <si>
    <t>{B15}</t>
  </si>
  <si>
    <t>{B16}</t>
  </si>
  <si>
    <t>{B17,C17}</t>
  </si>
  <si>
    <t>{B18,C18}</t>
  </si>
  <si>
    <t>{B19,C19}</t>
  </si>
  <si>
    <t>{B20,C20}</t>
  </si>
  <si>
    <t>{B21,C21}</t>
  </si>
  <si>
    <t>{B22,C22}</t>
  </si>
  <si>
    <t>{B23,C23}</t>
  </si>
  <si>
    <t>{B24,C24}</t>
  </si>
  <si>
    <t>{B25,C25,D25}</t>
  </si>
  <si>
    <t>{B26,C26,D26}</t>
  </si>
  <si>
    <t>{B32,C32,D32}</t>
  </si>
  <si>
    <t>{B40}</t>
  </si>
  <si>
    <t>{B41,C41}</t>
  </si>
  <si>
    <t>{B42,C42}</t>
  </si>
  <si>
    <t>{B44,C44}</t>
  </si>
  <si>
    <t>{B30,D30,E30, F30,G30,C30}</t>
  </si>
  <si>
    <t>cycle</t>
  </si>
  <si>
    <t>class</t>
  </si>
  <si>
    <t>binaryList</t>
  </si>
  <si>
    <t>binaryTree</t>
  </si>
  <si>
    <t>{B45,C45,A45_1}</t>
  </si>
  <si>
    <t>{B48,D48,E48, C48,A48_1}</t>
  </si>
  <si>
    <t>&lt;A37_1=&lt;A37_2={TI}&gt;&gt;</t>
  </si>
  <si>
    <t>{A37_2}</t>
  </si>
  <si>
    <t>&lt;A38_1=&lt;A38_2={TI}&gt;, A38_2=&lt;A38_1={TI}&gt;&gt;</t>
  </si>
  <si>
    <t>{A38_2,A38_1}</t>
  </si>
  <si>
    <t>&lt;A39_1=&lt;A39_2={TI}&gt;,      A39_2=&lt;B39={TI}&gt;&gt;</t>
  </si>
  <si>
    <t>{A39_2,B39}</t>
  </si>
  <si>
    <t>&lt;A40_1=&lt;B40={TI}&gt;,           A40_2=&lt;B40={TI}&gt;&gt;</t>
  </si>
  <si>
    <t>&lt;A41_1=&lt;B41={TI}&gt;,             A41_2=&lt;C41={TI}&gt;&gt;</t>
  </si>
  <si>
    <t>&lt;A42_1=&lt;B42={TI}&gt;,             A42_2=&lt;C42={TI}&gt;&gt;</t>
  </si>
  <si>
    <t>&lt;A43_1=&lt;B43={TI}&gt;,             A43_2=&lt;C43={TI}&gt;&gt;</t>
  </si>
  <si>
    <t>{B43,A43_2,C43}</t>
  </si>
  <si>
    <t>&lt;A44_1=&lt;B44={TI}&gt;,             A44_2=&lt;C44={TI}&gt;&gt;</t>
  </si>
  <si>
    <t>&lt;A45_1=&lt;B45={TI}&gt;,             A45_2=&lt;C45={TI}&gt;&gt;</t>
  </si>
  <si>
    <t>&lt;A46_1=&lt;B46={TI}&gt;,             A46_2=&lt;C46={TI}&gt;&gt;</t>
  </si>
  <si>
    <t>{B47,D47,E47, A47_2,C47}</t>
  </si>
  <si>
    <t>&lt;A50_2=&lt;B50={TI}&gt;,            A50_3=&lt;C50={TI}&gt;,               A50_4=&lt;D50={TI}&gt;&gt;</t>
  </si>
  <si>
    <t>&lt;A49_1=&lt;A49_3,B49={TI}&gt;,             A49_2=&lt;C49={TI},D49={TI}&gt;,            A49_3=&lt;F49={TI}&gt;&gt;</t>
  </si>
  <si>
    <t>Statistiken</t>
  </si>
  <si>
    <t>B3</t>
  </si>
  <si>
    <t>A4</t>
  </si>
  <si>
    <t>B4</t>
  </si>
  <si>
    <t>A5</t>
  </si>
  <si>
    <t>B5</t>
  </si>
  <si>
    <t>A6</t>
  </si>
  <si>
    <t>B6</t>
  </si>
  <si>
    <t>C6</t>
  </si>
  <si>
    <t>A7</t>
  </si>
  <si>
    <t>B7</t>
  </si>
  <si>
    <t>C7</t>
  </si>
  <si>
    <t>A39_1</t>
  </si>
  <si>
    <t>Artifacts involved</t>
  </si>
  <si>
    <t>color=Brown</t>
  </si>
  <si>
    <t>color=Dark</t>
  </si>
  <si>
    <t>color=orange</t>
  </si>
  <si>
    <t>color=Brown,Dark</t>
  </si>
  <si>
    <t>color=Brown;size=small</t>
  </si>
  <si>
    <t>color=Brown,Dark;size=small,tiny</t>
  </si>
  <si>
    <t>color=Brown,Dark;size=small,tiny;type=even</t>
  </si>
  <si>
    <t>&lt;A31=&lt;B31={TI}, C31={TI},D31={TI}&gt;&gt;</t>
  </si>
  <si>
    <t>&lt;A32=&lt;B32={TI}, C32={TI},D32={TI}&gt;&gt;</t>
  </si>
  <si>
    <t>&lt;A33=&lt;B33={TI}, C33={TI},D33={TI}&gt;&gt;</t>
  </si>
  <si>
    <t>&lt;A25=&lt;B25={TI}, C25={TI},D25={TI}&gt;&gt;</t>
  </si>
  <si>
    <t>&lt;A26=&lt;B26={TI}, C26={TI},D26={TI}&gt;&gt;</t>
  </si>
  <si>
    <t>&lt;A27=&lt;B27={TI}, C27={TI},D27={TI}&gt;&gt;</t>
  </si>
  <si>
    <t>{B28,D28,E28, C28,F28}</t>
  </si>
  <si>
    <t>{B29,D29,E29, C29,F29}</t>
  </si>
  <si>
    <t>{B31,E31,F31, C31,D31}</t>
  </si>
  <si>
    <t>{B34,D34,E34, F34,C34}</t>
  </si>
  <si>
    <t>{B33,E33, C33,D33}</t>
  </si>
  <si>
    <t>{B35,D35,E35, F35,C35}</t>
  </si>
  <si>
    <t>{B46,D46, E46,C46}</t>
  </si>
  <si>
    <t>{A49_3,B49,C49, F49,A49_1,G49, H49,D49,E49, I49,A49_2}</t>
  </si>
  <si>
    <t>{B50,E50,F50, C50,A50_2,D50, G50,H50}</t>
  </si>
  <si>
    <t>{B27,E27, C27,D27}</t>
  </si>
  <si>
    <t>getDep.OfUp.Artif</t>
  </si>
  <si>
    <t>partOf</t>
  </si>
  <si>
    <t>{f}</t>
  </si>
  <si>
    <t>{t}</t>
  </si>
  <si>
    <t>{f,t}</t>
  </si>
  <si>
    <t>{f,f}</t>
  </si>
  <si>
    <t>{t,t}</t>
  </si>
  <si>
    <t>{f,f,f}</t>
  </si>
  <si>
    <t>{f,f,t}</t>
  </si>
  <si>
    <t>{t,t,t}</t>
  </si>
  <si>
    <t>{f,t,t}</t>
  </si>
  <si>
    <t>{t,f}</t>
  </si>
  <si>
    <t>{t,t,f}</t>
  </si>
  <si>
    <t>{f,f,f,f}</t>
  </si>
  <si>
    <t>{f,f,f,f,f}</t>
  </si>
  <si>
    <t>{f,f,f,f,f, f}</t>
  </si>
  <si>
    <t>{f,f,f,f,f, f,f}</t>
  </si>
  <si>
    <t>{t,t,f,f}</t>
  </si>
  <si>
    <t>{t,t,t,t,t}</t>
  </si>
  <si>
    <t>{t,t,f,f,t ,t}</t>
  </si>
  <si>
    <t>{f,f,t,t}</t>
  </si>
  <si>
    <t>{t,f,t,t}</t>
  </si>
  <si>
    <t>{t,f,t,f,t ,f}</t>
  </si>
  <si>
    <t>{t,t,t,f,t, f,t,t,f,f,t}</t>
  </si>
  <si>
    <t>{f,t,f}</t>
  </si>
  <si>
    <t>{f,f,f,t,t ,f}</t>
  </si>
  <si>
    <t>{f,t,f,f,t, t,f,t,t,f,f}</t>
  </si>
  <si>
    <t>Testplan für DependencyManager</t>
  </si>
  <si>
    <t>Faceted Queries on Artifact Repository</t>
  </si>
  <si>
    <t>Testplan for IndexerSorter</t>
  </si>
  <si>
    <t>A1</t>
  </si>
  <si>
    <t>A2</t>
  </si>
  <si>
    <t>A3</t>
  </si>
  <si>
    <t>sorted</t>
  </si>
  <si>
    <t>tree</t>
  </si>
  <si>
    <t>complex</t>
  </si>
  <si>
    <t>{A1}</t>
  </si>
  <si>
    <t>{A2}</t>
  </si>
  <si>
    <t>{A3~B3}</t>
  </si>
  <si>
    <t>{B4~A4}</t>
  </si>
  <si>
    <t>{A5~B5}</t>
  </si>
  <si>
    <t>{B6~C6~A6}</t>
  </si>
  <si>
    <t>{A7,C7~B7}</t>
  </si>
  <si>
    <t>{B8,C8,D8~A8}</t>
  </si>
  <si>
    <t>{B9~A9,C9,E9~D9}</t>
  </si>
  <si>
    <t>{A10~B10~C10~D10}</t>
  </si>
  <si>
    <t>{A11~B11~C11}</t>
  </si>
  <si>
    <t>{B12,C12~E12~D12,F12~A12}</t>
  </si>
  <si>
    <t>{B13,E13~D13~F13~C13~J13~ A13,G13~H13~K13~I13}</t>
  </si>
  <si>
    <t>Indexer Sketch</t>
  </si>
  <si>
    <t>startPropa</t>
  </si>
  <si>
    <t>Art. Sketch</t>
  </si>
  <si>
    <t>multi=5, multi=B   [AND]</t>
  </si>
  <si>
    <t>multi=5,B   [OR]</t>
  </si>
  <si>
    <t>multi=5   [SIMPLE]</t>
  </si>
  <si>
    <t>Issue #1256 for IndexerSorter</t>
  </si>
  <si>
    <t>issue</t>
  </si>
  <si>
    <t>{A14,B14~C14,D14,E14,F14}</t>
  </si>
  <si>
    <t>{A15,B15~C15,D15~E15,F15}</t>
  </si>
  <si>
    <t>{A16,B16~C16,D16~E16,F16}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</si>
</sst>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b/>
      <sz val="22"/>
      <color theme="1"/>
      <name val="Calibri"/>
      <family val="2"/>
      <scheme val="minor"/>
    </font>
    <font>
      <sz val="9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/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3" xfId="0" applyBorder="1"/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/>
    <xf numFmtId="0" fontId="1" fillId="0" borderId="4" xfId="0" applyFont="1" applyBorder="1" applyAlignment="1">
      <alignment horizontal="center" vertical="center"/>
    </xf>
    <xf numFmtId="0" fontId="0" fillId="0" borderId="0" xfId="0"/>
    <xf numFmtId="0" fontId="2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4" xfId="0" applyFont="1" applyBorder="1" applyAlignment="1">
      <alignment horizontal="center" vertical="center" textRotation="90"/>
    </xf>
    <xf numFmtId="0" fontId="3" fillId="0" borderId="0" xfId="0" applyFont="1" applyBorder="1" applyAlignment="1">
      <alignment horizontal="center" vertical="center" textRotation="90"/>
    </xf>
    <xf numFmtId="0" fontId="3" fillId="0" borderId="2" xfId="0" applyFont="1" applyBorder="1" applyAlignment="1">
      <alignment horizontal="center" vertical="center" textRotation="90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center"/>
    </xf>
    <xf numFmtId="0" fontId="5" fillId="0" borderId="0" xfId="0" applyFont="1" applyAlignment="1">
      <alignment horizontal="center" vertical="top"/>
    </xf>
    <xf numFmtId="0" fontId="3" fillId="0" borderId="3" xfId="0" applyFont="1" applyBorder="1" applyAlignment="1">
      <alignment horizontal="center" vertical="center" textRotation="9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2" xfId="0" applyBorder="1"/>
    <xf numFmtId="0" fontId="0" fillId="0" borderId="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" xfId="0" applyFont="1" applyBorder="1" applyAlignment="1">
      <alignment horizontal="center" vertical="center" textRotation="9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405258</xdr:colOff>
      <xdr:row>4</xdr:row>
      <xdr:rowOff>78988</xdr:rowOff>
    </xdr:from>
    <xdr:to>
      <xdr:col>1</xdr:col>
      <xdr:colOff>585258</xdr:colOff>
      <xdr:row>4</xdr:row>
      <xdr:rowOff>258988</xdr:rowOff>
    </xdr:to>
    <xdr:sp macro="" textlink="">
      <xdr:nvSpPr>
        <xdr:cNvPr id="5" name="Ellipse 4"/>
        <xdr:cNvSpPr/>
      </xdr:nvSpPr>
      <xdr:spPr>
        <a:xfrm>
          <a:off x="623636" y="850281"/>
          <a:ext cx="180000" cy="180000"/>
        </a:xfrm>
        <a:prstGeom prst="ellipse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de-DE" sz="1050" b="0"/>
            <a:t>A</a:t>
          </a:r>
        </a:p>
      </xdr:txBody>
    </xdr:sp>
    <xdr:clientData/>
  </xdr:twoCellAnchor>
  <xdr:twoCellAnchor>
    <xdr:from>
      <xdr:col>1</xdr:col>
      <xdr:colOff>405258</xdr:colOff>
      <xdr:row>5</xdr:row>
      <xdr:rowOff>128336</xdr:rowOff>
    </xdr:from>
    <xdr:to>
      <xdr:col>1</xdr:col>
      <xdr:colOff>585258</xdr:colOff>
      <xdr:row>5</xdr:row>
      <xdr:rowOff>308336</xdr:rowOff>
    </xdr:to>
    <xdr:grpSp>
      <xdr:nvGrpSpPr>
        <xdr:cNvPr id="47" name="Gruppieren 46"/>
        <xdr:cNvGrpSpPr/>
      </xdr:nvGrpSpPr>
      <xdr:grpSpPr>
        <a:xfrm>
          <a:off x="624130" y="1842836"/>
          <a:ext cx="180000" cy="180000"/>
          <a:chOff x="579350" y="1280629"/>
          <a:chExt cx="180000" cy="180000"/>
        </a:xfrm>
      </xdr:grpSpPr>
      <xdr:sp macro="" textlink="">
        <xdr:nvSpPr>
          <xdr:cNvPr id="2" name="Ellipse 1"/>
          <xdr:cNvSpPr/>
        </xdr:nvSpPr>
        <xdr:spPr>
          <a:xfrm>
            <a:off x="579350" y="1280629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36" name="Gewinkelte Verbindung 35"/>
          <xdr:cNvCxnSpPr>
            <a:stCxn id="2" idx="1"/>
            <a:endCxn id="2" idx="7"/>
          </xdr:cNvCxnSpPr>
        </xdr:nvCxnSpPr>
        <xdr:spPr>
          <a:xfrm rot="5400000" flipH="1" flipV="1">
            <a:off x="669350" y="1243349"/>
            <a:ext cx="1588" cy="127280"/>
          </a:xfrm>
          <a:prstGeom prst="curvedConnector3">
            <a:avLst>
              <a:gd name="adj1" fmla="val 8155481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201284</xdr:colOff>
      <xdr:row>6</xdr:row>
      <xdr:rowOff>131124</xdr:rowOff>
    </xdr:from>
    <xdr:to>
      <xdr:col>1</xdr:col>
      <xdr:colOff>789232</xdr:colOff>
      <xdr:row>6</xdr:row>
      <xdr:rowOff>312053</xdr:rowOff>
    </xdr:to>
    <xdr:grpSp>
      <xdr:nvGrpSpPr>
        <xdr:cNvPr id="59" name="Gruppieren 58"/>
        <xdr:cNvGrpSpPr/>
      </xdr:nvGrpSpPr>
      <xdr:grpSpPr>
        <a:xfrm>
          <a:off x="420156" y="2226624"/>
          <a:ext cx="587948" cy="180929"/>
          <a:chOff x="476202" y="1664417"/>
          <a:chExt cx="587948" cy="180929"/>
        </a:xfrm>
      </xdr:grpSpPr>
      <xdr:sp macro="" textlink="">
        <xdr:nvSpPr>
          <xdr:cNvPr id="45" name="Ellipse 44"/>
          <xdr:cNvSpPr/>
        </xdr:nvSpPr>
        <xdr:spPr>
          <a:xfrm>
            <a:off x="476202" y="1665346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sp macro="" textlink="">
        <xdr:nvSpPr>
          <xdr:cNvPr id="48" name="Ellipse 47"/>
          <xdr:cNvSpPr/>
        </xdr:nvSpPr>
        <xdr:spPr>
          <a:xfrm>
            <a:off x="884150" y="1664417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49" name="Gewinkelte Verbindung 35"/>
          <xdr:cNvCxnSpPr>
            <a:stCxn id="45" idx="6"/>
            <a:endCxn id="48" idx="2"/>
          </xdr:cNvCxnSpPr>
        </xdr:nvCxnSpPr>
        <xdr:spPr>
          <a:xfrm flipV="1">
            <a:off x="656202" y="1754417"/>
            <a:ext cx="227948" cy="929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201284</xdr:colOff>
      <xdr:row>7</xdr:row>
      <xdr:rowOff>116256</xdr:rowOff>
    </xdr:from>
    <xdr:to>
      <xdr:col>1</xdr:col>
      <xdr:colOff>789232</xdr:colOff>
      <xdr:row>7</xdr:row>
      <xdr:rowOff>297185</xdr:rowOff>
    </xdr:to>
    <xdr:grpSp>
      <xdr:nvGrpSpPr>
        <xdr:cNvPr id="69" name="Gruppieren 68"/>
        <xdr:cNvGrpSpPr/>
      </xdr:nvGrpSpPr>
      <xdr:grpSpPr>
        <a:xfrm>
          <a:off x="420156" y="2592756"/>
          <a:ext cx="587948" cy="180929"/>
          <a:chOff x="452041" y="2030549"/>
          <a:chExt cx="587948" cy="180929"/>
        </a:xfrm>
      </xdr:grpSpPr>
      <xdr:grpSp>
        <xdr:nvGrpSpPr>
          <xdr:cNvPr id="60" name="Gruppieren 59"/>
          <xdr:cNvGrpSpPr/>
        </xdr:nvGrpSpPr>
        <xdr:grpSpPr>
          <a:xfrm>
            <a:off x="452041" y="2030549"/>
            <a:ext cx="587948" cy="180929"/>
            <a:chOff x="476202" y="1664417"/>
            <a:chExt cx="587948" cy="180929"/>
          </a:xfrm>
        </xdr:grpSpPr>
        <xdr:sp macro="" textlink="">
          <xdr:nvSpPr>
            <xdr:cNvPr id="61" name="Ellipse 60"/>
            <xdr:cNvSpPr/>
          </xdr:nvSpPr>
          <xdr:spPr>
            <a:xfrm>
              <a:off x="476202" y="166534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sp macro="" textlink="">
          <xdr:nvSpPr>
            <xdr:cNvPr id="63" name="Ellipse 62"/>
            <xdr:cNvSpPr/>
          </xdr:nvSpPr>
          <xdr:spPr>
            <a:xfrm>
              <a:off x="884150" y="1664417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cxnSp macro="">
          <xdr:nvCxnSpPr>
            <xdr:cNvPr id="64" name="Gewinkelte Verbindung 35"/>
            <xdr:cNvCxnSpPr>
              <a:stCxn id="61" idx="6"/>
              <a:endCxn id="63" idx="2"/>
            </xdr:cNvCxnSpPr>
          </xdr:nvCxnSpPr>
          <xdr:spPr>
            <a:xfrm flipV="1">
              <a:off x="656202" y="1754417"/>
              <a:ext cx="227948" cy="929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65" name="Gewinkelte Verbindung 35"/>
          <xdr:cNvCxnSpPr>
            <a:stCxn id="63" idx="1"/>
            <a:endCxn id="63" idx="7"/>
          </xdr:cNvCxnSpPr>
        </xdr:nvCxnSpPr>
        <xdr:spPr>
          <a:xfrm rot="5400000" flipH="1" flipV="1">
            <a:off x="949989" y="1993269"/>
            <a:ext cx="1588" cy="127280"/>
          </a:xfrm>
          <a:prstGeom prst="curvedConnector3">
            <a:avLst>
              <a:gd name="adj1" fmla="val 727771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201284</xdr:colOff>
      <xdr:row>8</xdr:row>
      <xdr:rowOff>116256</xdr:rowOff>
    </xdr:from>
    <xdr:to>
      <xdr:col>1</xdr:col>
      <xdr:colOff>789232</xdr:colOff>
      <xdr:row>8</xdr:row>
      <xdr:rowOff>297185</xdr:rowOff>
    </xdr:to>
    <xdr:grpSp>
      <xdr:nvGrpSpPr>
        <xdr:cNvPr id="71" name="Gruppieren 70"/>
        <xdr:cNvGrpSpPr/>
      </xdr:nvGrpSpPr>
      <xdr:grpSpPr>
        <a:xfrm>
          <a:off x="420156" y="2973756"/>
          <a:ext cx="587948" cy="180929"/>
          <a:chOff x="476202" y="1664417"/>
          <a:chExt cx="587948" cy="180929"/>
        </a:xfrm>
      </xdr:grpSpPr>
      <xdr:sp macro="" textlink="">
        <xdr:nvSpPr>
          <xdr:cNvPr id="72" name="Ellipse 71"/>
          <xdr:cNvSpPr/>
        </xdr:nvSpPr>
        <xdr:spPr>
          <a:xfrm>
            <a:off x="476202" y="1665346"/>
            <a:ext cx="180000" cy="180000"/>
          </a:xfrm>
          <a:prstGeom prst="ellipse">
            <a:avLst/>
          </a:prstGeom>
          <a:ln>
            <a:tailEnd type="triangle"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73" name="Gewinkelte Verbindung 35"/>
          <xdr:cNvCxnSpPr>
            <a:stCxn id="74" idx="3"/>
            <a:endCxn id="72" idx="5"/>
          </xdr:cNvCxnSpPr>
        </xdr:nvCxnSpPr>
        <xdr:spPr>
          <a:xfrm rot="5400000">
            <a:off x="769712" y="1678187"/>
            <a:ext cx="929" cy="280668"/>
          </a:xfrm>
          <a:prstGeom prst="curvedConnector3">
            <a:avLst>
              <a:gd name="adj1" fmla="val 5447257"/>
            </a:avLst>
          </a:prstGeom>
          <a:ln cap="flat">
            <a:round/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4" name="Ellipse 73"/>
          <xdr:cNvSpPr/>
        </xdr:nvSpPr>
        <xdr:spPr>
          <a:xfrm>
            <a:off x="884150" y="1664417"/>
            <a:ext cx="180000" cy="180000"/>
          </a:xfrm>
          <a:prstGeom prst="ellipse">
            <a:avLst/>
          </a:prstGeom>
          <a:ln>
            <a:tailEnd type="triangle"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75" name="Gewinkelte Verbindung 35"/>
          <xdr:cNvCxnSpPr>
            <a:stCxn id="72" idx="7"/>
            <a:endCxn id="74" idx="1"/>
          </xdr:cNvCxnSpPr>
        </xdr:nvCxnSpPr>
        <xdr:spPr>
          <a:xfrm rot="5400000" flipH="1" flipV="1">
            <a:off x="769712" y="1550908"/>
            <a:ext cx="929" cy="280668"/>
          </a:xfrm>
          <a:prstGeom prst="curvedConnector3">
            <a:avLst>
              <a:gd name="adj1" fmla="val 7379765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23643</xdr:colOff>
      <xdr:row>9</xdr:row>
      <xdr:rowOff>100183</xdr:rowOff>
    </xdr:from>
    <xdr:to>
      <xdr:col>1</xdr:col>
      <xdr:colOff>966873</xdr:colOff>
      <xdr:row>9</xdr:row>
      <xdr:rowOff>280183</xdr:rowOff>
    </xdr:to>
    <xdr:grpSp>
      <xdr:nvGrpSpPr>
        <xdr:cNvPr id="105" name="Gruppieren 104"/>
        <xdr:cNvGrpSpPr/>
      </xdr:nvGrpSpPr>
      <xdr:grpSpPr>
        <a:xfrm>
          <a:off x="242515" y="3338683"/>
          <a:ext cx="943230" cy="180000"/>
          <a:chOff x="255640" y="2777915"/>
          <a:chExt cx="943230" cy="180000"/>
        </a:xfrm>
      </xdr:grpSpPr>
      <xdr:sp macro="" textlink="">
        <xdr:nvSpPr>
          <xdr:cNvPr id="94" name="Ellipse 93"/>
          <xdr:cNvSpPr/>
        </xdr:nvSpPr>
        <xdr:spPr>
          <a:xfrm>
            <a:off x="255640" y="2777915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sp macro="" textlink="">
        <xdr:nvSpPr>
          <xdr:cNvPr id="95" name="Ellipse 94"/>
          <xdr:cNvSpPr/>
        </xdr:nvSpPr>
        <xdr:spPr>
          <a:xfrm>
            <a:off x="636187" y="2777915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96" name="Gewinkelte Verbindung 35"/>
          <xdr:cNvCxnSpPr>
            <a:stCxn id="94" idx="6"/>
            <a:endCxn id="95" idx="2"/>
          </xdr:cNvCxnSpPr>
        </xdr:nvCxnSpPr>
        <xdr:spPr>
          <a:xfrm>
            <a:off x="435640" y="2867915"/>
            <a:ext cx="200547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9" name="Ellipse 98"/>
          <xdr:cNvSpPr/>
        </xdr:nvSpPr>
        <xdr:spPr>
          <a:xfrm>
            <a:off x="1016735" y="2777915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cxnSp macro="">
        <xdr:nvCxnSpPr>
          <xdr:cNvPr id="100" name="Gewinkelte Verbindung 35"/>
          <xdr:cNvCxnSpPr>
            <a:stCxn id="95" idx="6"/>
            <a:endCxn id="99" idx="2"/>
          </xdr:cNvCxnSpPr>
        </xdr:nvCxnSpPr>
        <xdr:spPr>
          <a:xfrm>
            <a:off x="816187" y="2867915"/>
            <a:ext cx="200548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23643</xdr:colOff>
      <xdr:row>10</xdr:row>
      <xdr:rowOff>107695</xdr:rowOff>
    </xdr:from>
    <xdr:to>
      <xdr:col>1</xdr:col>
      <xdr:colOff>966873</xdr:colOff>
      <xdr:row>10</xdr:row>
      <xdr:rowOff>287695</xdr:rowOff>
    </xdr:to>
    <xdr:grpSp>
      <xdr:nvGrpSpPr>
        <xdr:cNvPr id="120" name="Gruppieren 119"/>
        <xdr:cNvGrpSpPr/>
      </xdr:nvGrpSpPr>
      <xdr:grpSpPr>
        <a:xfrm>
          <a:off x="242515" y="3727195"/>
          <a:ext cx="943230" cy="180000"/>
          <a:chOff x="244371" y="3166427"/>
          <a:chExt cx="943230" cy="180000"/>
        </a:xfrm>
      </xdr:grpSpPr>
      <xdr:grpSp>
        <xdr:nvGrpSpPr>
          <xdr:cNvPr id="110" name="Gruppieren 109"/>
          <xdr:cNvGrpSpPr/>
        </xdr:nvGrpSpPr>
        <xdr:grpSpPr>
          <a:xfrm>
            <a:off x="244371" y="3166427"/>
            <a:ext cx="943230" cy="180000"/>
            <a:chOff x="255640" y="2777915"/>
            <a:chExt cx="943230" cy="180000"/>
          </a:xfrm>
        </xdr:grpSpPr>
        <xdr:sp macro="" textlink="">
          <xdr:nvSpPr>
            <xdr:cNvPr id="111" name="Ellipse 110"/>
            <xdr:cNvSpPr/>
          </xdr:nvSpPr>
          <xdr:spPr>
            <a:xfrm>
              <a:off x="255640" y="2777915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sp macro="" textlink="">
          <xdr:nvSpPr>
            <xdr:cNvPr id="112" name="Ellipse 111"/>
            <xdr:cNvSpPr/>
          </xdr:nvSpPr>
          <xdr:spPr>
            <a:xfrm>
              <a:off x="636187" y="2777915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cxnSp macro="">
          <xdr:nvCxnSpPr>
            <xdr:cNvPr id="113" name="Gewinkelte Verbindung 35"/>
            <xdr:cNvCxnSpPr>
              <a:stCxn id="111" idx="6"/>
              <a:endCxn id="112" idx="2"/>
            </xdr:cNvCxnSpPr>
          </xdr:nvCxnSpPr>
          <xdr:spPr>
            <a:xfrm>
              <a:off x="435640" y="2867915"/>
              <a:ext cx="200547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4" name="Ellipse 113"/>
            <xdr:cNvSpPr/>
          </xdr:nvSpPr>
          <xdr:spPr>
            <a:xfrm>
              <a:off x="1016735" y="2777915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cxnSp macro="">
          <xdr:nvCxnSpPr>
            <xdr:cNvPr id="115" name="Gewinkelte Verbindung 35"/>
            <xdr:cNvCxnSpPr>
              <a:stCxn id="112" idx="6"/>
              <a:endCxn id="114" idx="2"/>
            </xdr:cNvCxnSpPr>
          </xdr:nvCxnSpPr>
          <xdr:spPr>
            <a:xfrm>
              <a:off x="816187" y="2867915"/>
              <a:ext cx="200548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16" name="Gewinkelte Verbindung 35"/>
          <xdr:cNvCxnSpPr>
            <a:stCxn id="114" idx="1"/>
            <a:endCxn id="114" idx="7"/>
          </xdr:cNvCxnSpPr>
        </xdr:nvCxnSpPr>
        <xdr:spPr>
          <a:xfrm rot="5400000" flipH="1" flipV="1">
            <a:off x="1096533" y="3128393"/>
            <a:ext cx="1588" cy="128789"/>
          </a:xfrm>
          <a:prstGeom prst="curvedConnector3">
            <a:avLst>
              <a:gd name="adj1" fmla="val 760737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23643</xdr:colOff>
      <xdr:row>11</xdr:row>
      <xdr:rowOff>138562</xdr:rowOff>
    </xdr:from>
    <xdr:to>
      <xdr:col>1</xdr:col>
      <xdr:colOff>966873</xdr:colOff>
      <xdr:row>11</xdr:row>
      <xdr:rowOff>319356</xdr:rowOff>
    </xdr:to>
    <xdr:grpSp>
      <xdr:nvGrpSpPr>
        <xdr:cNvPr id="121" name="Gruppieren 120"/>
        <xdr:cNvGrpSpPr/>
      </xdr:nvGrpSpPr>
      <xdr:grpSpPr>
        <a:xfrm>
          <a:off x="242515" y="4139062"/>
          <a:ext cx="943230" cy="180794"/>
          <a:chOff x="244371" y="3165633"/>
          <a:chExt cx="943230" cy="180794"/>
        </a:xfrm>
      </xdr:grpSpPr>
      <xdr:grpSp>
        <xdr:nvGrpSpPr>
          <xdr:cNvPr id="122" name="Gruppieren 109"/>
          <xdr:cNvGrpSpPr/>
        </xdr:nvGrpSpPr>
        <xdr:grpSpPr>
          <a:xfrm>
            <a:off x="244371" y="3166427"/>
            <a:ext cx="943230" cy="180000"/>
            <a:chOff x="255640" y="2777915"/>
            <a:chExt cx="943230" cy="180000"/>
          </a:xfrm>
        </xdr:grpSpPr>
        <xdr:sp macro="" textlink="">
          <xdr:nvSpPr>
            <xdr:cNvPr id="124" name="Ellipse 123"/>
            <xdr:cNvSpPr/>
          </xdr:nvSpPr>
          <xdr:spPr>
            <a:xfrm>
              <a:off x="255640" y="2777915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sp macro="" textlink="">
          <xdr:nvSpPr>
            <xdr:cNvPr id="125" name="Ellipse 124"/>
            <xdr:cNvSpPr/>
          </xdr:nvSpPr>
          <xdr:spPr>
            <a:xfrm>
              <a:off x="636187" y="2777915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cxnSp macro="">
          <xdr:nvCxnSpPr>
            <xdr:cNvPr id="126" name="Gewinkelte Verbindung 35"/>
            <xdr:cNvCxnSpPr>
              <a:stCxn id="124" idx="6"/>
              <a:endCxn id="125" idx="2"/>
            </xdr:cNvCxnSpPr>
          </xdr:nvCxnSpPr>
          <xdr:spPr>
            <a:xfrm>
              <a:off x="435640" y="2867915"/>
              <a:ext cx="200547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7" name="Ellipse 126"/>
            <xdr:cNvSpPr/>
          </xdr:nvSpPr>
          <xdr:spPr>
            <a:xfrm>
              <a:off x="1016735" y="2777915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cxnSp macro="">
          <xdr:nvCxnSpPr>
            <xdr:cNvPr id="128" name="Gewinkelte Verbindung 35"/>
            <xdr:cNvCxnSpPr>
              <a:stCxn id="125" idx="6"/>
              <a:endCxn id="127" idx="2"/>
            </xdr:cNvCxnSpPr>
          </xdr:nvCxnSpPr>
          <xdr:spPr>
            <a:xfrm>
              <a:off x="816187" y="2867915"/>
              <a:ext cx="200548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23" name="Gewinkelte Verbindung 35"/>
          <xdr:cNvCxnSpPr>
            <a:stCxn id="127" idx="0"/>
            <a:endCxn id="124" idx="0"/>
          </xdr:cNvCxnSpPr>
        </xdr:nvCxnSpPr>
        <xdr:spPr>
          <a:xfrm rot="16200000" flipV="1">
            <a:off x="715453" y="2785345"/>
            <a:ext cx="1588" cy="762163"/>
          </a:xfrm>
          <a:prstGeom prst="curvedConnector3">
            <a:avLst>
              <a:gd name="adj1" fmla="val 5102646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23643</xdr:colOff>
      <xdr:row>12</xdr:row>
      <xdr:rowOff>135343</xdr:rowOff>
    </xdr:from>
    <xdr:to>
      <xdr:col>1</xdr:col>
      <xdr:colOff>966873</xdr:colOff>
      <xdr:row>12</xdr:row>
      <xdr:rowOff>316137</xdr:rowOff>
    </xdr:to>
    <xdr:grpSp>
      <xdr:nvGrpSpPr>
        <xdr:cNvPr id="134" name="Gruppieren 133"/>
        <xdr:cNvGrpSpPr/>
      </xdr:nvGrpSpPr>
      <xdr:grpSpPr>
        <a:xfrm>
          <a:off x="242515" y="4516843"/>
          <a:ext cx="943230" cy="180794"/>
          <a:chOff x="244371" y="3165633"/>
          <a:chExt cx="943230" cy="180794"/>
        </a:xfrm>
      </xdr:grpSpPr>
      <xdr:grpSp>
        <xdr:nvGrpSpPr>
          <xdr:cNvPr id="135" name="Gruppieren 109"/>
          <xdr:cNvGrpSpPr/>
        </xdr:nvGrpSpPr>
        <xdr:grpSpPr>
          <a:xfrm>
            <a:off x="244371" y="3166427"/>
            <a:ext cx="943230" cy="180000"/>
            <a:chOff x="255640" y="2777915"/>
            <a:chExt cx="943230" cy="180000"/>
          </a:xfrm>
        </xdr:grpSpPr>
        <xdr:sp macro="" textlink="">
          <xdr:nvSpPr>
            <xdr:cNvPr id="137" name="Ellipse 136"/>
            <xdr:cNvSpPr/>
          </xdr:nvSpPr>
          <xdr:spPr>
            <a:xfrm>
              <a:off x="255640" y="2777915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sp macro="" textlink="">
          <xdr:nvSpPr>
            <xdr:cNvPr id="138" name="Ellipse 137"/>
            <xdr:cNvSpPr/>
          </xdr:nvSpPr>
          <xdr:spPr>
            <a:xfrm>
              <a:off x="636187" y="2777915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cxnSp macro="">
          <xdr:nvCxnSpPr>
            <xdr:cNvPr id="139" name="Gewinkelte Verbindung 35"/>
            <xdr:cNvCxnSpPr>
              <a:stCxn id="137" idx="6"/>
              <a:endCxn id="138" idx="2"/>
            </xdr:cNvCxnSpPr>
          </xdr:nvCxnSpPr>
          <xdr:spPr>
            <a:xfrm>
              <a:off x="435640" y="2867915"/>
              <a:ext cx="200547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40" name="Ellipse 139"/>
            <xdr:cNvSpPr/>
          </xdr:nvSpPr>
          <xdr:spPr>
            <a:xfrm>
              <a:off x="1016735" y="2777915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cxnSp macro="">
          <xdr:nvCxnSpPr>
            <xdr:cNvPr id="141" name="Gewinkelte Verbindung 35"/>
            <xdr:cNvCxnSpPr>
              <a:stCxn id="138" idx="6"/>
              <a:endCxn id="140" idx="2"/>
            </xdr:cNvCxnSpPr>
          </xdr:nvCxnSpPr>
          <xdr:spPr>
            <a:xfrm>
              <a:off x="816187" y="2867915"/>
              <a:ext cx="200548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36" name="Gewinkelte Verbindung 35"/>
          <xdr:cNvCxnSpPr>
            <a:stCxn id="140" idx="0"/>
            <a:endCxn id="138" idx="0"/>
          </xdr:cNvCxnSpPr>
        </xdr:nvCxnSpPr>
        <xdr:spPr>
          <a:xfrm rot="16200000" flipV="1">
            <a:off x="905726" y="2975619"/>
            <a:ext cx="1588" cy="381616"/>
          </a:xfrm>
          <a:prstGeom prst="curvedConnector3">
            <a:avLst>
              <a:gd name="adj1" fmla="val 4426765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405258</xdr:colOff>
      <xdr:row>13</xdr:row>
      <xdr:rowOff>106315</xdr:rowOff>
    </xdr:from>
    <xdr:to>
      <xdr:col>1</xdr:col>
      <xdr:colOff>585258</xdr:colOff>
      <xdr:row>13</xdr:row>
      <xdr:rowOff>286315</xdr:rowOff>
    </xdr:to>
    <xdr:grpSp>
      <xdr:nvGrpSpPr>
        <xdr:cNvPr id="168" name="Gruppieren 167"/>
        <xdr:cNvGrpSpPr/>
      </xdr:nvGrpSpPr>
      <xdr:grpSpPr>
        <a:xfrm>
          <a:off x="624130" y="4868815"/>
          <a:ext cx="180000" cy="180000"/>
          <a:chOff x="614709" y="4307520"/>
          <a:chExt cx="180000" cy="180000"/>
        </a:xfrm>
      </xdr:grpSpPr>
      <xdr:grpSp>
        <xdr:nvGrpSpPr>
          <xdr:cNvPr id="151" name="Gruppieren 150"/>
          <xdr:cNvGrpSpPr/>
        </xdr:nvGrpSpPr>
        <xdr:grpSpPr>
          <a:xfrm>
            <a:off x="614709" y="4307520"/>
            <a:ext cx="180000" cy="180000"/>
            <a:chOff x="579350" y="1280629"/>
            <a:chExt cx="180000" cy="180000"/>
          </a:xfrm>
        </xdr:grpSpPr>
        <xdr:sp macro="" textlink="">
          <xdr:nvSpPr>
            <xdr:cNvPr id="152" name="Ellipse 151"/>
            <xdr:cNvSpPr/>
          </xdr:nvSpPr>
          <xdr:spPr>
            <a:xfrm>
              <a:off x="579350" y="1280629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cxnSp macro="">
          <xdr:nvCxnSpPr>
            <xdr:cNvPr id="153" name="Gewinkelte Verbindung 35"/>
            <xdr:cNvCxnSpPr>
              <a:stCxn id="152" idx="1"/>
              <a:endCxn id="152" idx="7"/>
            </xdr:cNvCxnSpPr>
          </xdr:nvCxnSpPr>
          <xdr:spPr>
            <a:xfrm rot="5400000" flipH="1" flipV="1">
              <a:off x="669350" y="1243349"/>
              <a:ext cx="1588" cy="127280"/>
            </a:xfrm>
            <a:prstGeom prst="curvedConnector3">
              <a:avLst>
                <a:gd name="adj1" fmla="val 6013352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64" name="Gewinkelte Verbindung 35"/>
          <xdr:cNvCxnSpPr>
            <a:stCxn id="152" idx="5"/>
            <a:endCxn id="152" idx="3"/>
          </xdr:cNvCxnSpPr>
        </xdr:nvCxnSpPr>
        <xdr:spPr>
          <a:xfrm rot="5400000">
            <a:off x="704709" y="4397520"/>
            <a:ext cx="1588" cy="127280"/>
          </a:xfrm>
          <a:prstGeom prst="curvedConnector3">
            <a:avLst>
              <a:gd name="adj1" fmla="val 5772924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201284</xdr:colOff>
      <xdr:row>14</xdr:row>
      <xdr:rowOff>136319</xdr:rowOff>
    </xdr:from>
    <xdr:to>
      <xdr:col>1</xdr:col>
      <xdr:colOff>789232</xdr:colOff>
      <xdr:row>14</xdr:row>
      <xdr:rowOff>317248</xdr:rowOff>
    </xdr:to>
    <xdr:grpSp>
      <xdr:nvGrpSpPr>
        <xdr:cNvPr id="177" name="Gruppieren 176"/>
        <xdr:cNvGrpSpPr/>
      </xdr:nvGrpSpPr>
      <xdr:grpSpPr>
        <a:xfrm>
          <a:off x="420156" y="5279819"/>
          <a:ext cx="587948" cy="180929"/>
          <a:chOff x="410735" y="4718524"/>
          <a:chExt cx="587948" cy="180929"/>
        </a:xfrm>
      </xdr:grpSpPr>
      <xdr:grpSp>
        <xdr:nvGrpSpPr>
          <xdr:cNvPr id="154" name="Gruppieren 153"/>
          <xdr:cNvGrpSpPr/>
        </xdr:nvGrpSpPr>
        <xdr:grpSpPr>
          <a:xfrm>
            <a:off x="410735" y="4718524"/>
            <a:ext cx="587948" cy="180929"/>
            <a:chOff x="476202" y="1664417"/>
            <a:chExt cx="587948" cy="180929"/>
          </a:xfrm>
        </xdr:grpSpPr>
        <xdr:sp macro="" textlink="">
          <xdr:nvSpPr>
            <xdr:cNvPr id="155" name="Ellipse 154"/>
            <xdr:cNvSpPr/>
          </xdr:nvSpPr>
          <xdr:spPr>
            <a:xfrm>
              <a:off x="476202" y="166534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sp macro="" textlink="">
          <xdr:nvSpPr>
            <xdr:cNvPr id="156" name="Ellipse 155"/>
            <xdr:cNvSpPr/>
          </xdr:nvSpPr>
          <xdr:spPr>
            <a:xfrm>
              <a:off x="884150" y="1664417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cxnSp macro="">
          <xdr:nvCxnSpPr>
            <xdr:cNvPr id="157" name="Gewinkelte Verbindung 35"/>
            <xdr:cNvCxnSpPr>
              <a:stCxn id="155" idx="6"/>
              <a:endCxn id="156" idx="2"/>
            </xdr:cNvCxnSpPr>
          </xdr:nvCxnSpPr>
          <xdr:spPr>
            <a:xfrm flipV="1">
              <a:off x="656202" y="1754417"/>
              <a:ext cx="227948" cy="929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69" name="Gewinkelte Verbindung 35"/>
          <xdr:cNvCxnSpPr>
            <a:stCxn id="155" idx="1"/>
            <a:endCxn id="155" idx="7"/>
          </xdr:cNvCxnSpPr>
        </xdr:nvCxnSpPr>
        <xdr:spPr>
          <a:xfrm rot="5400000" flipH="1" flipV="1">
            <a:off x="500735" y="4682173"/>
            <a:ext cx="1588" cy="127280"/>
          </a:xfrm>
          <a:prstGeom prst="curvedConnector3">
            <a:avLst>
              <a:gd name="adj1" fmla="val 7486652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201284</xdr:colOff>
      <xdr:row>15</xdr:row>
      <xdr:rowOff>127574</xdr:rowOff>
    </xdr:from>
    <xdr:to>
      <xdr:col>1</xdr:col>
      <xdr:colOff>789232</xdr:colOff>
      <xdr:row>15</xdr:row>
      <xdr:rowOff>308503</xdr:rowOff>
    </xdr:to>
    <xdr:grpSp>
      <xdr:nvGrpSpPr>
        <xdr:cNvPr id="180" name="Gruppieren 179"/>
        <xdr:cNvGrpSpPr/>
      </xdr:nvGrpSpPr>
      <xdr:grpSpPr>
        <a:xfrm>
          <a:off x="420156" y="5652074"/>
          <a:ext cx="587948" cy="180929"/>
          <a:chOff x="476202" y="1664417"/>
          <a:chExt cx="587948" cy="180929"/>
        </a:xfrm>
      </xdr:grpSpPr>
      <xdr:sp macro="" textlink="">
        <xdr:nvSpPr>
          <xdr:cNvPr id="181" name="Ellipse 180"/>
          <xdr:cNvSpPr/>
        </xdr:nvSpPr>
        <xdr:spPr>
          <a:xfrm>
            <a:off x="476202" y="1665346"/>
            <a:ext cx="180000" cy="180000"/>
          </a:xfrm>
          <a:prstGeom prst="ellipse">
            <a:avLst/>
          </a:prstGeom>
          <a:ln>
            <a:tailEnd type="triangle"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182" name="Gewinkelte Verbindung 35"/>
          <xdr:cNvCxnSpPr>
            <a:stCxn id="183" idx="3"/>
            <a:endCxn id="181" idx="5"/>
          </xdr:cNvCxnSpPr>
        </xdr:nvCxnSpPr>
        <xdr:spPr>
          <a:xfrm rot="5400000">
            <a:off x="769712" y="1678187"/>
            <a:ext cx="929" cy="280668"/>
          </a:xfrm>
          <a:prstGeom prst="curvedConnector3">
            <a:avLst>
              <a:gd name="adj1" fmla="val 5447257"/>
            </a:avLst>
          </a:prstGeom>
          <a:ln cap="flat">
            <a:round/>
            <a:headEnd type="triangle" w="sm" len="sm"/>
            <a:tailEnd type="non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3" name="Ellipse 182"/>
          <xdr:cNvSpPr/>
        </xdr:nvSpPr>
        <xdr:spPr>
          <a:xfrm>
            <a:off x="884150" y="1664417"/>
            <a:ext cx="180000" cy="180000"/>
          </a:xfrm>
          <a:prstGeom prst="ellipse">
            <a:avLst/>
          </a:prstGeom>
          <a:ln>
            <a:tailEnd type="triangle"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184" name="Gewinkelte Verbindung 35"/>
          <xdr:cNvCxnSpPr>
            <a:stCxn id="181" idx="7"/>
            <a:endCxn id="183" idx="1"/>
          </xdr:cNvCxnSpPr>
        </xdr:nvCxnSpPr>
        <xdr:spPr>
          <a:xfrm rot="5400000" flipH="1" flipV="1">
            <a:off x="769712" y="1550908"/>
            <a:ext cx="929" cy="280668"/>
          </a:xfrm>
          <a:prstGeom prst="curvedConnector3">
            <a:avLst>
              <a:gd name="adj1" fmla="val 7379765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202579</xdr:colOff>
      <xdr:row>17</xdr:row>
      <xdr:rowOff>92027</xdr:rowOff>
    </xdr:from>
    <xdr:to>
      <xdr:col>1</xdr:col>
      <xdr:colOff>787938</xdr:colOff>
      <xdr:row>17</xdr:row>
      <xdr:rowOff>273803</xdr:rowOff>
    </xdr:to>
    <xdr:grpSp>
      <xdr:nvGrpSpPr>
        <xdr:cNvPr id="196" name="Gruppieren 195"/>
        <xdr:cNvGrpSpPr/>
      </xdr:nvGrpSpPr>
      <xdr:grpSpPr>
        <a:xfrm>
          <a:off x="421451" y="6378527"/>
          <a:ext cx="585359" cy="181776"/>
          <a:chOff x="399169" y="5436233"/>
          <a:chExt cx="585359" cy="181776"/>
        </a:xfrm>
      </xdr:grpSpPr>
      <xdr:grpSp>
        <xdr:nvGrpSpPr>
          <xdr:cNvPr id="190" name="Gruppieren 189"/>
          <xdr:cNvGrpSpPr/>
        </xdr:nvGrpSpPr>
        <xdr:grpSpPr>
          <a:xfrm>
            <a:off x="804528" y="5436233"/>
            <a:ext cx="180000" cy="180000"/>
            <a:chOff x="614709" y="4307520"/>
            <a:chExt cx="180000" cy="180000"/>
          </a:xfrm>
        </xdr:grpSpPr>
        <xdr:grpSp>
          <xdr:nvGrpSpPr>
            <xdr:cNvPr id="191" name="Gruppieren 150"/>
            <xdr:cNvGrpSpPr/>
          </xdr:nvGrpSpPr>
          <xdr:grpSpPr>
            <a:xfrm>
              <a:off x="614709" y="4307520"/>
              <a:ext cx="180000" cy="180000"/>
              <a:chOff x="579350" y="1280629"/>
              <a:chExt cx="180000" cy="180000"/>
            </a:xfrm>
          </xdr:grpSpPr>
          <xdr:sp macro="" textlink="">
            <xdr:nvSpPr>
              <xdr:cNvPr id="193" name="Ellipse 192"/>
              <xdr:cNvSpPr/>
            </xdr:nvSpPr>
            <xdr:spPr>
              <a:xfrm>
                <a:off x="579350" y="1280629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B</a:t>
                </a:r>
              </a:p>
            </xdr:txBody>
          </xdr:sp>
          <xdr:cxnSp macro="">
            <xdr:nvCxnSpPr>
              <xdr:cNvPr id="194" name="Gewinkelte Verbindung 35"/>
              <xdr:cNvCxnSpPr>
                <a:stCxn id="193" idx="1"/>
                <a:endCxn id="193" idx="7"/>
              </xdr:cNvCxnSpPr>
            </xdr:nvCxnSpPr>
            <xdr:spPr>
              <a:xfrm rot="5400000" flipH="1" flipV="1">
                <a:off x="669350" y="1243349"/>
                <a:ext cx="1588" cy="127280"/>
              </a:xfrm>
              <a:prstGeom prst="curvedConnector3">
                <a:avLst>
                  <a:gd name="adj1" fmla="val 6013352"/>
                </a:avLst>
              </a:prstGeom>
              <a:ln>
                <a:tailEnd type="triangle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2" name="Gewinkelte Verbindung 35"/>
            <xdr:cNvCxnSpPr>
              <a:stCxn id="193" idx="5"/>
              <a:endCxn id="193" idx="3"/>
            </xdr:cNvCxnSpPr>
          </xdr:nvCxnSpPr>
          <xdr:spPr>
            <a:xfrm rot="5400000">
              <a:off x="704709" y="4397520"/>
              <a:ext cx="1588" cy="127280"/>
            </a:xfrm>
            <a:prstGeom prst="curvedConnector3">
              <a:avLst>
                <a:gd name="adj1" fmla="val 5772924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85" name="Gruppieren 184"/>
          <xdr:cNvGrpSpPr/>
        </xdr:nvGrpSpPr>
        <xdr:grpSpPr>
          <a:xfrm>
            <a:off x="399169" y="5438009"/>
            <a:ext cx="434309" cy="180000"/>
            <a:chOff x="476202" y="1665346"/>
            <a:chExt cx="434309" cy="180000"/>
          </a:xfrm>
        </xdr:grpSpPr>
        <xdr:sp macro="" textlink="">
          <xdr:nvSpPr>
            <xdr:cNvPr id="186" name="Ellipse 185"/>
            <xdr:cNvSpPr/>
          </xdr:nvSpPr>
          <xdr:spPr>
            <a:xfrm>
              <a:off x="476202" y="1665346"/>
              <a:ext cx="180000" cy="180000"/>
            </a:xfrm>
            <a:prstGeom prst="ellipse">
              <a:avLst/>
            </a:prstGeom>
            <a:ln>
              <a:tailEnd type="triangle"/>
            </a:ln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cxnSp macro="">
          <xdr:nvCxnSpPr>
            <xdr:cNvPr id="187" name="Gewinkelte Verbindung 35"/>
            <xdr:cNvCxnSpPr>
              <a:endCxn id="186" idx="5"/>
            </xdr:cNvCxnSpPr>
          </xdr:nvCxnSpPr>
          <xdr:spPr>
            <a:xfrm rot="5400000">
              <a:off x="769712" y="1678187"/>
              <a:ext cx="929" cy="280668"/>
            </a:xfrm>
            <a:prstGeom prst="curvedConnector3">
              <a:avLst>
                <a:gd name="adj1" fmla="val 5447257"/>
              </a:avLst>
            </a:prstGeom>
            <a:ln cap="flat">
              <a:round/>
              <a:headEnd type="triangle" w="sm" len="sm"/>
              <a:tailEnd type="non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9" name="Gewinkelte Verbindung 35"/>
            <xdr:cNvCxnSpPr>
              <a:stCxn id="186" idx="7"/>
            </xdr:cNvCxnSpPr>
          </xdr:nvCxnSpPr>
          <xdr:spPr>
            <a:xfrm rot="5400000" flipH="1" flipV="1">
              <a:off x="769712" y="1550908"/>
              <a:ext cx="929" cy="280668"/>
            </a:xfrm>
            <a:prstGeom prst="curvedConnector3">
              <a:avLst>
                <a:gd name="adj1" fmla="val 7379765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</xdr:col>
      <xdr:colOff>201284</xdr:colOff>
      <xdr:row>18</xdr:row>
      <xdr:rowOff>113288</xdr:rowOff>
    </xdr:from>
    <xdr:to>
      <xdr:col>1</xdr:col>
      <xdr:colOff>789232</xdr:colOff>
      <xdr:row>18</xdr:row>
      <xdr:rowOff>294217</xdr:rowOff>
    </xdr:to>
    <xdr:grpSp>
      <xdr:nvGrpSpPr>
        <xdr:cNvPr id="213" name="Gruppieren 212"/>
        <xdr:cNvGrpSpPr/>
      </xdr:nvGrpSpPr>
      <xdr:grpSpPr>
        <a:xfrm>
          <a:off x="420156" y="6780788"/>
          <a:ext cx="587948" cy="180929"/>
          <a:chOff x="405972" y="5828288"/>
          <a:chExt cx="587948" cy="180929"/>
        </a:xfrm>
      </xdr:grpSpPr>
      <xdr:grpSp>
        <xdr:nvGrpSpPr>
          <xdr:cNvPr id="197" name="Gruppieren 196"/>
          <xdr:cNvGrpSpPr/>
        </xdr:nvGrpSpPr>
        <xdr:grpSpPr>
          <a:xfrm>
            <a:off x="405972" y="5828288"/>
            <a:ext cx="587948" cy="180929"/>
            <a:chOff x="476202" y="1664417"/>
            <a:chExt cx="587948" cy="180929"/>
          </a:xfrm>
        </xdr:grpSpPr>
        <xdr:sp macro="" textlink="">
          <xdr:nvSpPr>
            <xdr:cNvPr id="198" name="Ellipse 197"/>
            <xdr:cNvSpPr/>
          </xdr:nvSpPr>
          <xdr:spPr>
            <a:xfrm>
              <a:off x="476202" y="1665346"/>
              <a:ext cx="180000" cy="180000"/>
            </a:xfrm>
            <a:prstGeom prst="ellipse">
              <a:avLst/>
            </a:prstGeom>
            <a:ln>
              <a:tailEnd type="triangle"/>
            </a:ln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cxnSp macro="">
          <xdr:nvCxnSpPr>
            <xdr:cNvPr id="199" name="Gewinkelte Verbindung 35"/>
            <xdr:cNvCxnSpPr>
              <a:stCxn id="200" idx="3"/>
              <a:endCxn id="198" idx="5"/>
            </xdr:cNvCxnSpPr>
          </xdr:nvCxnSpPr>
          <xdr:spPr>
            <a:xfrm rot="5400000">
              <a:off x="769712" y="1678187"/>
              <a:ext cx="929" cy="280668"/>
            </a:xfrm>
            <a:prstGeom prst="curvedConnector3">
              <a:avLst>
                <a:gd name="adj1" fmla="val 5447257"/>
              </a:avLst>
            </a:prstGeom>
            <a:ln cap="flat">
              <a:round/>
              <a:headEnd type="triangle" w="sm" len="sm"/>
              <a:tailEnd type="non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0" name="Ellipse 199"/>
            <xdr:cNvSpPr/>
          </xdr:nvSpPr>
          <xdr:spPr>
            <a:xfrm>
              <a:off x="884150" y="1664417"/>
              <a:ext cx="180000" cy="180000"/>
            </a:xfrm>
            <a:prstGeom prst="ellipse">
              <a:avLst/>
            </a:prstGeom>
            <a:ln>
              <a:tailEnd type="triangle"/>
            </a:ln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cxnSp macro="">
          <xdr:nvCxnSpPr>
            <xdr:cNvPr id="201" name="Gewinkelte Verbindung 35"/>
            <xdr:cNvCxnSpPr>
              <a:stCxn id="198" idx="7"/>
              <a:endCxn id="200" idx="1"/>
            </xdr:cNvCxnSpPr>
          </xdr:nvCxnSpPr>
          <xdr:spPr>
            <a:xfrm rot="5400000" flipH="1" flipV="1">
              <a:off x="769712" y="1550908"/>
              <a:ext cx="929" cy="280668"/>
            </a:xfrm>
            <a:prstGeom prst="curvedConnector3">
              <a:avLst>
                <a:gd name="adj1" fmla="val 7379765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07" name="Gewinkelte Verbindung 35"/>
          <xdr:cNvCxnSpPr>
            <a:stCxn id="198" idx="0"/>
            <a:endCxn id="200" idx="0"/>
          </xdr:cNvCxnSpPr>
        </xdr:nvCxnSpPr>
        <xdr:spPr>
          <a:xfrm rot="5400000" flipH="1" flipV="1">
            <a:off x="699482" y="5624779"/>
            <a:ext cx="929" cy="407948"/>
          </a:xfrm>
          <a:prstGeom prst="curvedConnector3">
            <a:avLst>
              <a:gd name="adj1" fmla="val 9693867"/>
            </a:avLst>
          </a:prstGeom>
          <a:ln cap="flat">
            <a:round/>
            <a:headEnd type="triangle" w="sm" len="sm"/>
            <a:tailEnd type="non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202579</xdr:colOff>
      <xdr:row>16</xdr:row>
      <xdr:rowOff>118560</xdr:rowOff>
    </xdr:from>
    <xdr:to>
      <xdr:col>1</xdr:col>
      <xdr:colOff>787938</xdr:colOff>
      <xdr:row>16</xdr:row>
      <xdr:rowOff>300336</xdr:rowOff>
    </xdr:to>
    <xdr:grpSp>
      <xdr:nvGrpSpPr>
        <xdr:cNvPr id="214" name="Gruppieren 213"/>
        <xdr:cNvGrpSpPr/>
      </xdr:nvGrpSpPr>
      <xdr:grpSpPr>
        <a:xfrm>
          <a:off x="421451" y="6024060"/>
          <a:ext cx="585359" cy="181776"/>
          <a:chOff x="399169" y="5436233"/>
          <a:chExt cx="585359" cy="181776"/>
        </a:xfrm>
      </xdr:grpSpPr>
      <xdr:grpSp>
        <xdr:nvGrpSpPr>
          <xdr:cNvPr id="220" name="Gruppieren 150"/>
          <xdr:cNvGrpSpPr/>
        </xdr:nvGrpSpPr>
        <xdr:grpSpPr>
          <a:xfrm>
            <a:off x="804528" y="5436233"/>
            <a:ext cx="180000" cy="180000"/>
            <a:chOff x="579350" y="1280629"/>
            <a:chExt cx="180000" cy="180000"/>
          </a:xfrm>
        </xdr:grpSpPr>
        <xdr:sp macro="" textlink="">
          <xdr:nvSpPr>
            <xdr:cNvPr id="222" name="Ellipse 221"/>
            <xdr:cNvSpPr/>
          </xdr:nvSpPr>
          <xdr:spPr>
            <a:xfrm>
              <a:off x="579350" y="1280629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cxnSp macro="">
          <xdr:nvCxnSpPr>
            <xdr:cNvPr id="223" name="Gewinkelte Verbindung 35"/>
            <xdr:cNvCxnSpPr>
              <a:stCxn id="222" idx="1"/>
              <a:endCxn id="222" idx="7"/>
            </xdr:cNvCxnSpPr>
          </xdr:nvCxnSpPr>
          <xdr:spPr>
            <a:xfrm rot="5400000" flipH="1" flipV="1">
              <a:off x="669350" y="1243349"/>
              <a:ext cx="1588" cy="127280"/>
            </a:xfrm>
            <a:prstGeom prst="curvedConnector3">
              <a:avLst>
                <a:gd name="adj1" fmla="val 6013352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6" name="Gruppieren 184"/>
          <xdr:cNvGrpSpPr/>
        </xdr:nvGrpSpPr>
        <xdr:grpSpPr>
          <a:xfrm>
            <a:off x="399169" y="5438009"/>
            <a:ext cx="434309" cy="180000"/>
            <a:chOff x="476202" y="1665346"/>
            <a:chExt cx="434309" cy="180000"/>
          </a:xfrm>
        </xdr:grpSpPr>
        <xdr:sp macro="" textlink="">
          <xdr:nvSpPr>
            <xdr:cNvPr id="217" name="Ellipse 216"/>
            <xdr:cNvSpPr/>
          </xdr:nvSpPr>
          <xdr:spPr>
            <a:xfrm>
              <a:off x="476202" y="1665346"/>
              <a:ext cx="180000" cy="180000"/>
            </a:xfrm>
            <a:prstGeom prst="ellipse">
              <a:avLst/>
            </a:prstGeom>
            <a:ln>
              <a:tailEnd type="triangle"/>
            </a:ln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cxnSp macro="">
          <xdr:nvCxnSpPr>
            <xdr:cNvPr id="218" name="Gewinkelte Verbindung 35"/>
            <xdr:cNvCxnSpPr>
              <a:endCxn id="217" idx="5"/>
            </xdr:cNvCxnSpPr>
          </xdr:nvCxnSpPr>
          <xdr:spPr>
            <a:xfrm rot="5400000">
              <a:off x="769712" y="1678187"/>
              <a:ext cx="929" cy="280668"/>
            </a:xfrm>
            <a:prstGeom prst="curvedConnector3">
              <a:avLst>
                <a:gd name="adj1" fmla="val 5447257"/>
              </a:avLst>
            </a:prstGeom>
            <a:ln cap="flat">
              <a:round/>
              <a:headEnd type="triangle" w="sm" len="sm"/>
              <a:tailEnd type="non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" name="Gewinkelte Verbindung 35"/>
            <xdr:cNvCxnSpPr>
              <a:stCxn id="217" idx="7"/>
            </xdr:cNvCxnSpPr>
          </xdr:nvCxnSpPr>
          <xdr:spPr>
            <a:xfrm rot="5400000" flipH="1" flipV="1">
              <a:off x="769712" y="1550908"/>
              <a:ext cx="929" cy="280668"/>
            </a:xfrm>
            <a:prstGeom prst="curvedConnector3">
              <a:avLst>
                <a:gd name="adj1" fmla="val 7379765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</xdr:col>
      <xdr:colOff>201284</xdr:colOff>
      <xdr:row>19</xdr:row>
      <xdr:rowOff>109205</xdr:rowOff>
    </xdr:from>
    <xdr:to>
      <xdr:col>1</xdr:col>
      <xdr:colOff>789232</xdr:colOff>
      <xdr:row>19</xdr:row>
      <xdr:rowOff>290134</xdr:rowOff>
    </xdr:to>
    <xdr:grpSp>
      <xdr:nvGrpSpPr>
        <xdr:cNvPr id="224" name="Gruppieren 223"/>
        <xdr:cNvGrpSpPr/>
      </xdr:nvGrpSpPr>
      <xdr:grpSpPr>
        <a:xfrm>
          <a:off x="420156" y="7157705"/>
          <a:ext cx="587948" cy="180929"/>
          <a:chOff x="405972" y="5828288"/>
          <a:chExt cx="587948" cy="180929"/>
        </a:xfrm>
      </xdr:grpSpPr>
      <xdr:grpSp>
        <xdr:nvGrpSpPr>
          <xdr:cNvPr id="225" name="Gruppieren 196"/>
          <xdr:cNvGrpSpPr/>
        </xdr:nvGrpSpPr>
        <xdr:grpSpPr>
          <a:xfrm>
            <a:off x="405972" y="5828288"/>
            <a:ext cx="587948" cy="180929"/>
            <a:chOff x="476202" y="1664417"/>
            <a:chExt cx="587948" cy="180929"/>
          </a:xfrm>
        </xdr:grpSpPr>
        <xdr:sp macro="" textlink="">
          <xdr:nvSpPr>
            <xdr:cNvPr id="228" name="Ellipse 227"/>
            <xdr:cNvSpPr/>
          </xdr:nvSpPr>
          <xdr:spPr>
            <a:xfrm>
              <a:off x="476202" y="1665346"/>
              <a:ext cx="180000" cy="180000"/>
            </a:xfrm>
            <a:prstGeom prst="ellipse">
              <a:avLst/>
            </a:prstGeom>
            <a:ln>
              <a:tailEnd type="triangle"/>
            </a:ln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cxnSp macro="">
          <xdr:nvCxnSpPr>
            <xdr:cNvPr id="229" name="Gewinkelte Verbindung 35"/>
            <xdr:cNvCxnSpPr>
              <a:stCxn id="230" idx="3"/>
              <a:endCxn id="228" idx="5"/>
            </xdr:cNvCxnSpPr>
          </xdr:nvCxnSpPr>
          <xdr:spPr>
            <a:xfrm rot="5400000">
              <a:off x="769712" y="1678187"/>
              <a:ext cx="929" cy="280668"/>
            </a:xfrm>
            <a:prstGeom prst="curvedConnector3">
              <a:avLst>
                <a:gd name="adj1" fmla="val 5447257"/>
              </a:avLst>
            </a:prstGeom>
            <a:ln cap="flat">
              <a:round/>
              <a:headEnd type="triangle" w="sm" len="sm"/>
              <a:tailEnd type="non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0" name="Ellipse 229"/>
            <xdr:cNvSpPr/>
          </xdr:nvSpPr>
          <xdr:spPr>
            <a:xfrm>
              <a:off x="884150" y="1664417"/>
              <a:ext cx="180000" cy="180000"/>
            </a:xfrm>
            <a:prstGeom prst="ellipse">
              <a:avLst/>
            </a:prstGeom>
            <a:ln>
              <a:tailEnd type="triangle"/>
            </a:ln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cxnSp macro="">
          <xdr:nvCxnSpPr>
            <xdr:cNvPr id="231" name="Gewinkelte Verbindung 35"/>
            <xdr:cNvCxnSpPr>
              <a:stCxn id="228" idx="7"/>
              <a:endCxn id="230" idx="1"/>
            </xdr:cNvCxnSpPr>
          </xdr:nvCxnSpPr>
          <xdr:spPr>
            <a:xfrm rot="5400000" flipH="1" flipV="1">
              <a:off x="769712" y="1550908"/>
              <a:ext cx="929" cy="280668"/>
            </a:xfrm>
            <a:prstGeom prst="curvedConnector3">
              <a:avLst>
                <a:gd name="adj1" fmla="val 7379765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26" name="Gewinkelte Verbindung 35"/>
          <xdr:cNvCxnSpPr>
            <a:stCxn id="228" idx="4"/>
            <a:endCxn id="230" idx="4"/>
          </xdr:cNvCxnSpPr>
        </xdr:nvCxnSpPr>
        <xdr:spPr>
          <a:xfrm rot="5400000" flipH="1" flipV="1">
            <a:off x="699481" y="5804779"/>
            <a:ext cx="929" cy="407948"/>
          </a:xfrm>
          <a:prstGeom prst="curvedConnector3">
            <a:avLst>
              <a:gd name="adj1" fmla="val -8129174"/>
            </a:avLst>
          </a:prstGeom>
          <a:ln cap="flat">
            <a:round/>
            <a:headEnd type="triangle" w="sm" len="sm"/>
            <a:tailEnd type="non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Gewinkelte Verbindung 35"/>
          <xdr:cNvCxnSpPr>
            <a:stCxn id="228" idx="0"/>
            <a:endCxn id="230" idx="0"/>
          </xdr:cNvCxnSpPr>
        </xdr:nvCxnSpPr>
        <xdr:spPr>
          <a:xfrm rot="5400000" flipH="1" flipV="1">
            <a:off x="699482" y="5624779"/>
            <a:ext cx="929" cy="407948"/>
          </a:xfrm>
          <a:prstGeom prst="curvedConnector3">
            <a:avLst>
              <a:gd name="adj1" fmla="val 9693867"/>
            </a:avLst>
          </a:prstGeom>
          <a:ln cap="flat">
            <a:round/>
            <a:headEnd type="triangle" w="sm" len="sm"/>
            <a:tailEnd type="non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203362</xdr:colOff>
      <xdr:row>20</xdr:row>
      <xdr:rowOff>84962</xdr:rowOff>
    </xdr:from>
    <xdr:to>
      <xdr:col>1</xdr:col>
      <xdr:colOff>787155</xdr:colOff>
      <xdr:row>20</xdr:row>
      <xdr:rowOff>515604</xdr:rowOff>
    </xdr:to>
    <xdr:grpSp>
      <xdr:nvGrpSpPr>
        <xdr:cNvPr id="266" name="Gruppieren 265"/>
        <xdr:cNvGrpSpPr/>
      </xdr:nvGrpSpPr>
      <xdr:grpSpPr>
        <a:xfrm>
          <a:off x="422234" y="7514462"/>
          <a:ext cx="583793" cy="430642"/>
          <a:chOff x="392267" y="6953259"/>
          <a:chExt cx="583793" cy="430642"/>
        </a:xfrm>
      </xdr:grpSpPr>
      <xdr:cxnSp macro="">
        <xdr:nvCxnSpPr>
          <xdr:cNvPr id="237" name="Gewinkelte Verbindung 35"/>
          <xdr:cNvCxnSpPr>
            <a:stCxn id="235" idx="7"/>
            <a:endCxn id="236" idx="2"/>
          </xdr:cNvCxnSpPr>
        </xdr:nvCxnSpPr>
        <xdr:spPr>
          <a:xfrm rot="5400000" flipH="1" flipV="1">
            <a:off x="640143" y="6949024"/>
            <a:ext cx="61681" cy="25015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4" name="Gewinkelte Verbindung 35"/>
          <xdr:cNvCxnSpPr>
            <a:stCxn id="235" idx="5"/>
            <a:endCxn id="245" idx="2"/>
          </xdr:cNvCxnSpPr>
        </xdr:nvCxnSpPr>
        <xdr:spPr>
          <a:xfrm rot="16200000" flipH="1">
            <a:off x="640143" y="7137983"/>
            <a:ext cx="61681" cy="25015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60" name="Gruppieren 259"/>
          <xdr:cNvGrpSpPr/>
        </xdr:nvGrpSpPr>
        <xdr:grpSpPr>
          <a:xfrm>
            <a:off x="392267" y="6953259"/>
            <a:ext cx="583793" cy="430642"/>
            <a:chOff x="392267" y="6953259"/>
            <a:chExt cx="583793" cy="430642"/>
          </a:xfrm>
        </xdr:grpSpPr>
        <xdr:sp macro="" textlink="">
          <xdr:nvSpPr>
            <xdr:cNvPr id="235" name="Ellipse 234"/>
            <xdr:cNvSpPr/>
          </xdr:nvSpPr>
          <xdr:spPr>
            <a:xfrm>
              <a:off x="392267" y="7078580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grpSp>
          <xdr:nvGrpSpPr>
            <xdr:cNvPr id="246" name="Gruppieren 245"/>
            <xdr:cNvGrpSpPr/>
          </xdr:nvGrpSpPr>
          <xdr:grpSpPr>
            <a:xfrm>
              <a:off x="796060" y="6953259"/>
              <a:ext cx="180000" cy="430642"/>
              <a:chOff x="796060" y="7015035"/>
              <a:chExt cx="180000" cy="430642"/>
            </a:xfrm>
          </xdr:grpSpPr>
          <xdr:sp macro="" textlink="">
            <xdr:nvSpPr>
              <xdr:cNvPr id="236" name="Ellipse 235"/>
              <xdr:cNvSpPr/>
            </xdr:nvSpPr>
            <xdr:spPr>
              <a:xfrm>
                <a:off x="796060" y="7015035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B</a:t>
                </a:r>
              </a:p>
            </xdr:txBody>
          </xdr:sp>
          <xdr:sp macro="" textlink="">
            <xdr:nvSpPr>
              <xdr:cNvPr id="245" name="Ellipse 244"/>
              <xdr:cNvSpPr/>
            </xdr:nvSpPr>
            <xdr:spPr>
              <a:xfrm>
                <a:off x="796060" y="7265677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C</a:t>
                </a:r>
              </a:p>
            </xdr:txBody>
          </xdr:sp>
        </xdr:grpSp>
      </xdr:grpSp>
    </xdr:grpSp>
    <xdr:clientData/>
  </xdr:twoCellAnchor>
  <xdr:twoCellAnchor>
    <xdr:from>
      <xdr:col>1</xdr:col>
      <xdr:colOff>203362</xdr:colOff>
      <xdr:row>21</xdr:row>
      <xdr:rowOff>77754</xdr:rowOff>
    </xdr:from>
    <xdr:to>
      <xdr:col>1</xdr:col>
      <xdr:colOff>787155</xdr:colOff>
      <xdr:row>21</xdr:row>
      <xdr:rowOff>508396</xdr:rowOff>
    </xdr:to>
    <xdr:grpSp>
      <xdr:nvGrpSpPr>
        <xdr:cNvPr id="267" name="Gruppieren 266"/>
        <xdr:cNvGrpSpPr/>
      </xdr:nvGrpSpPr>
      <xdr:grpSpPr>
        <a:xfrm>
          <a:off x="422234" y="8078754"/>
          <a:ext cx="583793" cy="430642"/>
          <a:chOff x="392267" y="6953259"/>
          <a:chExt cx="583793" cy="430642"/>
        </a:xfrm>
      </xdr:grpSpPr>
      <xdr:cxnSp macro="">
        <xdr:nvCxnSpPr>
          <xdr:cNvPr id="268" name="Gewinkelte Verbindung 35"/>
          <xdr:cNvCxnSpPr>
            <a:stCxn id="272" idx="7"/>
            <a:endCxn id="274" idx="2"/>
          </xdr:cNvCxnSpPr>
        </xdr:nvCxnSpPr>
        <xdr:spPr>
          <a:xfrm rot="5400000" flipH="1" flipV="1">
            <a:off x="640143" y="6949024"/>
            <a:ext cx="61681" cy="25015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winkelte Verbindung 35"/>
          <xdr:cNvCxnSpPr>
            <a:stCxn id="272" idx="5"/>
            <a:endCxn id="275" idx="2"/>
          </xdr:cNvCxnSpPr>
        </xdr:nvCxnSpPr>
        <xdr:spPr>
          <a:xfrm rot="16200000" flipH="1">
            <a:off x="640143" y="7137983"/>
            <a:ext cx="61681" cy="25015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70" name="Gruppieren 259"/>
          <xdr:cNvGrpSpPr/>
        </xdr:nvGrpSpPr>
        <xdr:grpSpPr>
          <a:xfrm>
            <a:off x="392267" y="6953259"/>
            <a:ext cx="583793" cy="430642"/>
            <a:chOff x="392267" y="6953259"/>
            <a:chExt cx="583793" cy="430642"/>
          </a:xfrm>
        </xdr:grpSpPr>
        <xdr:sp macro="" textlink="">
          <xdr:nvSpPr>
            <xdr:cNvPr id="272" name="Ellipse 271"/>
            <xdr:cNvSpPr/>
          </xdr:nvSpPr>
          <xdr:spPr>
            <a:xfrm>
              <a:off x="392267" y="7078580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grpSp>
          <xdr:nvGrpSpPr>
            <xdr:cNvPr id="273" name="Gruppieren 245"/>
            <xdr:cNvGrpSpPr/>
          </xdr:nvGrpSpPr>
          <xdr:grpSpPr>
            <a:xfrm>
              <a:off x="796060" y="6953259"/>
              <a:ext cx="180000" cy="430642"/>
              <a:chOff x="796060" y="7015035"/>
              <a:chExt cx="180000" cy="430642"/>
            </a:xfrm>
          </xdr:grpSpPr>
          <xdr:sp macro="" textlink="">
            <xdr:nvSpPr>
              <xdr:cNvPr id="274" name="Ellipse 273"/>
              <xdr:cNvSpPr/>
            </xdr:nvSpPr>
            <xdr:spPr>
              <a:xfrm>
                <a:off x="796060" y="7015035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B</a:t>
                </a:r>
              </a:p>
            </xdr:txBody>
          </xdr:sp>
          <xdr:sp macro="" textlink="">
            <xdr:nvSpPr>
              <xdr:cNvPr id="275" name="Ellipse 274"/>
              <xdr:cNvSpPr/>
            </xdr:nvSpPr>
            <xdr:spPr>
              <a:xfrm>
                <a:off x="796060" y="7265677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C</a:t>
                </a:r>
              </a:p>
            </xdr:txBody>
          </xdr:sp>
        </xdr:grpSp>
      </xdr:grpSp>
      <xdr:cxnSp macro="">
        <xdr:nvCxnSpPr>
          <xdr:cNvPr id="271" name="Gewinkelte Verbindung 35"/>
          <xdr:cNvCxnSpPr>
            <a:stCxn id="274" idx="1"/>
            <a:endCxn id="274" idx="7"/>
          </xdr:cNvCxnSpPr>
        </xdr:nvCxnSpPr>
        <xdr:spPr>
          <a:xfrm rot="5400000" flipH="1" flipV="1">
            <a:off x="886060" y="6915979"/>
            <a:ext cx="1588" cy="127280"/>
          </a:xfrm>
          <a:prstGeom prst="curvedConnector3">
            <a:avLst>
              <a:gd name="adj1" fmla="val 535611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203362</xdr:colOff>
      <xdr:row>22</xdr:row>
      <xdr:rowOff>85992</xdr:rowOff>
    </xdr:from>
    <xdr:to>
      <xdr:col>1</xdr:col>
      <xdr:colOff>787155</xdr:colOff>
      <xdr:row>22</xdr:row>
      <xdr:rowOff>516634</xdr:rowOff>
    </xdr:to>
    <xdr:grpSp>
      <xdr:nvGrpSpPr>
        <xdr:cNvPr id="289" name="Gruppieren 288"/>
        <xdr:cNvGrpSpPr/>
      </xdr:nvGrpSpPr>
      <xdr:grpSpPr>
        <a:xfrm>
          <a:off x="422234" y="8658492"/>
          <a:ext cx="583793" cy="430642"/>
          <a:chOff x="372703" y="8097289"/>
          <a:chExt cx="583793" cy="430642"/>
        </a:xfrm>
      </xdr:grpSpPr>
      <xdr:grpSp>
        <xdr:nvGrpSpPr>
          <xdr:cNvPr id="276" name="Gruppieren 275"/>
          <xdr:cNvGrpSpPr/>
        </xdr:nvGrpSpPr>
        <xdr:grpSpPr>
          <a:xfrm>
            <a:off x="372703" y="8097289"/>
            <a:ext cx="583793" cy="430642"/>
            <a:chOff x="392267" y="6953259"/>
            <a:chExt cx="583793" cy="430642"/>
          </a:xfrm>
        </xdr:grpSpPr>
        <xdr:cxnSp macro="">
          <xdr:nvCxnSpPr>
            <xdr:cNvPr id="277" name="Gewinkelte Verbindung 35"/>
            <xdr:cNvCxnSpPr>
              <a:stCxn id="281" idx="7"/>
              <a:endCxn id="283" idx="2"/>
            </xdr:cNvCxnSpPr>
          </xdr:nvCxnSpPr>
          <xdr:spPr>
            <a:xfrm rot="5400000" flipH="1" flipV="1">
              <a:off x="640143" y="6949024"/>
              <a:ext cx="61681" cy="250153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" name="Gewinkelte Verbindung 35"/>
            <xdr:cNvCxnSpPr>
              <a:stCxn id="281" idx="5"/>
              <a:endCxn id="284" idx="2"/>
            </xdr:cNvCxnSpPr>
          </xdr:nvCxnSpPr>
          <xdr:spPr>
            <a:xfrm rot="16200000" flipH="1">
              <a:off x="640143" y="7137983"/>
              <a:ext cx="61681" cy="250153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279" name="Gruppieren 259"/>
            <xdr:cNvGrpSpPr/>
          </xdr:nvGrpSpPr>
          <xdr:grpSpPr>
            <a:xfrm>
              <a:off x="392267" y="6953259"/>
              <a:ext cx="583793" cy="430642"/>
              <a:chOff x="392267" y="6953259"/>
              <a:chExt cx="583793" cy="430642"/>
            </a:xfrm>
          </xdr:grpSpPr>
          <xdr:sp macro="" textlink="">
            <xdr:nvSpPr>
              <xdr:cNvPr id="281" name="Ellipse 280"/>
              <xdr:cNvSpPr/>
            </xdr:nvSpPr>
            <xdr:spPr>
              <a:xfrm>
                <a:off x="392267" y="7078580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A</a:t>
                </a:r>
              </a:p>
            </xdr:txBody>
          </xdr:sp>
          <xdr:grpSp>
            <xdr:nvGrpSpPr>
              <xdr:cNvPr id="282" name="Gruppieren 245"/>
              <xdr:cNvGrpSpPr/>
            </xdr:nvGrpSpPr>
            <xdr:grpSpPr>
              <a:xfrm>
                <a:off x="796060" y="6953259"/>
                <a:ext cx="180000" cy="430642"/>
                <a:chOff x="796060" y="7015035"/>
                <a:chExt cx="180000" cy="430642"/>
              </a:xfrm>
            </xdr:grpSpPr>
            <xdr:sp macro="" textlink="">
              <xdr:nvSpPr>
                <xdr:cNvPr id="283" name="Ellipse 282"/>
                <xdr:cNvSpPr/>
              </xdr:nvSpPr>
              <xdr:spPr>
                <a:xfrm>
                  <a:off x="796060" y="7015035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B</a:t>
                  </a:r>
                </a:p>
              </xdr:txBody>
            </xdr:sp>
            <xdr:sp macro="" textlink="">
              <xdr:nvSpPr>
                <xdr:cNvPr id="284" name="Ellipse 283"/>
                <xdr:cNvSpPr/>
              </xdr:nvSpPr>
              <xdr:spPr>
                <a:xfrm>
                  <a:off x="796060" y="7265677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C</a:t>
                  </a:r>
                </a:p>
              </xdr:txBody>
            </xdr:sp>
          </xdr:grpSp>
        </xdr:grpSp>
        <xdr:cxnSp macro="">
          <xdr:nvCxnSpPr>
            <xdr:cNvPr id="280" name="Gewinkelte Verbindung 35"/>
            <xdr:cNvCxnSpPr>
              <a:stCxn id="283" idx="1"/>
              <a:endCxn id="283" idx="7"/>
            </xdr:cNvCxnSpPr>
          </xdr:nvCxnSpPr>
          <xdr:spPr>
            <a:xfrm rot="5400000" flipH="1" flipV="1">
              <a:off x="886060" y="6915979"/>
              <a:ext cx="1588" cy="127280"/>
            </a:xfrm>
            <a:prstGeom prst="curvedConnector3">
              <a:avLst>
                <a:gd name="adj1" fmla="val 535611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85" name="Gewinkelte Verbindung 35"/>
          <xdr:cNvCxnSpPr>
            <a:stCxn id="284" idx="1"/>
            <a:endCxn id="284" idx="7"/>
          </xdr:cNvCxnSpPr>
        </xdr:nvCxnSpPr>
        <xdr:spPr>
          <a:xfrm rot="5400000" flipH="1" flipV="1">
            <a:off x="866496" y="8310651"/>
            <a:ext cx="1588" cy="127280"/>
          </a:xfrm>
          <a:prstGeom prst="curvedConnector3">
            <a:avLst>
              <a:gd name="adj1" fmla="val 5193956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203362</xdr:colOff>
      <xdr:row>23</xdr:row>
      <xdr:rowOff>86508</xdr:rowOff>
    </xdr:from>
    <xdr:to>
      <xdr:col>1</xdr:col>
      <xdr:colOff>787155</xdr:colOff>
      <xdr:row>23</xdr:row>
      <xdr:rowOff>517150</xdr:rowOff>
    </xdr:to>
    <xdr:grpSp>
      <xdr:nvGrpSpPr>
        <xdr:cNvPr id="292" name="Gruppieren 275"/>
        <xdr:cNvGrpSpPr/>
      </xdr:nvGrpSpPr>
      <xdr:grpSpPr>
        <a:xfrm>
          <a:off x="422234" y="9230508"/>
          <a:ext cx="583793" cy="430642"/>
          <a:chOff x="392267" y="6953259"/>
          <a:chExt cx="583793" cy="430642"/>
        </a:xfrm>
      </xdr:grpSpPr>
      <xdr:cxnSp macro="">
        <xdr:nvCxnSpPr>
          <xdr:cNvPr id="294" name="Gewinkelte Verbindung 35"/>
          <xdr:cNvCxnSpPr>
            <a:stCxn id="298" idx="7"/>
            <a:endCxn id="300" idx="2"/>
          </xdr:cNvCxnSpPr>
        </xdr:nvCxnSpPr>
        <xdr:spPr>
          <a:xfrm rot="5400000" flipH="1" flipV="1">
            <a:off x="640143" y="6949024"/>
            <a:ext cx="61681" cy="25015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winkelte Verbindung 35"/>
          <xdr:cNvCxnSpPr>
            <a:stCxn id="298" idx="5"/>
            <a:endCxn id="301" idx="2"/>
          </xdr:cNvCxnSpPr>
        </xdr:nvCxnSpPr>
        <xdr:spPr>
          <a:xfrm rot="16200000" flipH="1">
            <a:off x="640143" y="7137983"/>
            <a:ext cx="61681" cy="25015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96" name="Gruppieren 259"/>
          <xdr:cNvGrpSpPr/>
        </xdr:nvGrpSpPr>
        <xdr:grpSpPr>
          <a:xfrm>
            <a:off x="392267" y="6953259"/>
            <a:ext cx="583793" cy="430642"/>
            <a:chOff x="392267" y="6953259"/>
            <a:chExt cx="583793" cy="430642"/>
          </a:xfrm>
        </xdr:grpSpPr>
        <xdr:sp macro="" textlink="">
          <xdr:nvSpPr>
            <xdr:cNvPr id="298" name="Ellipse 297"/>
            <xdr:cNvSpPr/>
          </xdr:nvSpPr>
          <xdr:spPr>
            <a:xfrm>
              <a:off x="392267" y="7078580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grpSp>
          <xdr:nvGrpSpPr>
            <xdr:cNvPr id="299" name="Gruppieren 245"/>
            <xdr:cNvGrpSpPr/>
          </xdr:nvGrpSpPr>
          <xdr:grpSpPr>
            <a:xfrm>
              <a:off x="796060" y="6953259"/>
              <a:ext cx="180000" cy="430642"/>
              <a:chOff x="796060" y="7015035"/>
              <a:chExt cx="180000" cy="430642"/>
            </a:xfrm>
          </xdr:grpSpPr>
          <xdr:sp macro="" textlink="">
            <xdr:nvSpPr>
              <xdr:cNvPr id="300" name="Ellipse 299"/>
              <xdr:cNvSpPr/>
            </xdr:nvSpPr>
            <xdr:spPr>
              <a:xfrm>
                <a:off x="796060" y="7015035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B</a:t>
                </a:r>
              </a:p>
            </xdr:txBody>
          </xdr:sp>
          <xdr:sp macro="" textlink="">
            <xdr:nvSpPr>
              <xdr:cNvPr id="301" name="Ellipse 300"/>
              <xdr:cNvSpPr/>
            </xdr:nvSpPr>
            <xdr:spPr>
              <a:xfrm>
                <a:off x="796060" y="7265677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C</a:t>
                </a:r>
              </a:p>
            </xdr:txBody>
          </xdr:sp>
        </xdr:grpSp>
      </xdr:grpSp>
      <xdr:cxnSp macro="">
        <xdr:nvCxnSpPr>
          <xdr:cNvPr id="297" name="Gewinkelte Verbindung 35"/>
          <xdr:cNvCxnSpPr>
            <a:stCxn id="300" idx="1"/>
            <a:endCxn id="298" idx="0"/>
          </xdr:cNvCxnSpPr>
        </xdr:nvCxnSpPr>
        <xdr:spPr>
          <a:xfrm rot="16200000" flipH="1" flipV="1">
            <a:off x="602863" y="6859022"/>
            <a:ext cx="98961" cy="340153"/>
          </a:xfrm>
          <a:prstGeom prst="curvedConnector3">
            <a:avLst>
              <a:gd name="adj1" fmla="val -39124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203362</xdr:colOff>
      <xdr:row>24</xdr:row>
      <xdr:rowOff>71577</xdr:rowOff>
    </xdr:from>
    <xdr:to>
      <xdr:col>1</xdr:col>
      <xdr:colOff>787155</xdr:colOff>
      <xdr:row>24</xdr:row>
      <xdr:rowOff>502219</xdr:rowOff>
    </xdr:to>
    <xdr:grpSp>
      <xdr:nvGrpSpPr>
        <xdr:cNvPr id="334" name="Gruppieren 333"/>
        <xdr:cNvGrpSpPr/>
      </xdr:nvGrpSpPr>
      <xdr:grpSpPr>
        <a:xfrm>
          <a:off x="422234" y="9787077"/>
          <a:ext cx="583793" cy="430642"/>
          <a:chOff x="378881" y="9225874"/>
          <a:chExt cx="583793" cy="430642"/>
        </a:xfrm>
      </xdr:grpSpPr>
      <xdr:grpSp>
        <xdr:nvGrpSpPr>
          <xdr:cNvPr id="321" name="Gruppieren 275"/>
          <xdr:cNvGrpSpPr/>
        </xdr:nvGrpSpPr>
        <xdr:grpSpPr>
          <a:xfrm>
            <a:off x="378881" y="9225874"/>
            <a:ext cx="583793" cy="430642"/>
            <a:chOff x="392267" y="6953259"/>
            <a:chExt cx="583793" cy="430642"/>
          </a:xfrm>
        </xdr:grpSpPr>
        <xdr:cxnSp macro="">
          <xdr:nvCxnSpPr>
            <xdr:cNvPr id="322" name="Gewinkelte Verbindung 35"/>
            <xdr:cNvCxnSpPr>
              <a:stCxn id="326" idx="7"/>
              <a:endCxn id="328" idx="2"/>
            </xdr:cNvCxnSpPr>
          </xdr:nvCxnSpPr>
          <xdr:spPr>
            <a:xfrm rot="5400000" flipH="1" flipV="1">
              <a:off x="640143" y="6949024"/>
              <a:ext cx="61681" cy="250153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3" name="Gewinkelte Verbindung 35"/>
            <xdr:cNvCxnSpPr>
              <a:stCxn id="326" idx="5"/>
              <a:endCxn id="329" idx="2"/>
            </xdr:cNvCxnSpPr>
          </xdr:nvCxnSpPr>
          <xdr:spPr>
            <a:xfrm rot="16200000" flipH="1">
              <a:off x="640143" y="7137983"/>
              <a:ext cx="61681" cy="250153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324" name="Gruppieren 259"/>
            <xdr:cNvGrpSpPr/>
          </xdr:nvGrpSpPr>
          <xdr:grpSpPr>
            <a:xfrm>
              <a:off x="392267" y="6953259"/>
              <a:ext cx="583793" cy="430642"/>
              <a:chOff x="392267" y="6953259"/>
              <a:chExt cx="583793" cy="430642"/>
            </a:xfrm>
          </xdr:grpSpPr>
          <xdr:sp macro="" textlink="">
            <xdr:nvSpPr>
              <xdr:cNvPr id="326" name="Ellipse 325"/>
              <xdr:cNvSpPr/>
            </xdr:nvSpPr>
            <xdr:spPr>
              <a:xfrm>
                <a:off x="392267" y="7078580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A</a:t>
                </a:r>
              </a:p>
            </xdr:txBody>
          </xdr:sp>
          <xdr:grpSp>
            <xdr:nvGrpSpPr>
              <xdr:cNvPr id="327" name="Gruppieren 245"/>
              <xdr:cNvGrpSpPr/>
            </xdr:nvGrpSpPr>
            <xdr:grpSpPr>
              <a:xfrm>
                <a:off x="796060" y="6953259"/>
                <a:ext cx="180000" cy="430642"/>
                <a:chOff x="796060" y="7015035"/>
                <a:chExt cx="180000" cy="430642"/>
              </a:xfrm>
            </xdr:grpSpPr>
            <xdr:sp macro="" textlink="">
              <xdr:nvSpPr>
                <xdr:cNvPr id="328" name="Ellipse 327"/>
                <xdr:cNvSpPr/>
              </xdr:nvSpPr>
              <xdr:spPr>
                <a:xfrm>
                  <a:off x="796060" y="7015035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B</a:t>
                  </a:r>
                </a:p>
              </xdr:txBody>
            </xdr:sp>
            <xdr:sp macro="" textlink="">
              <xdr:nvSpPr>
                <xdr:cNvPr id="329" name="Ellipse 328"/>
                <xdr:cNvSpPr/>
              </xdr:nvSpPr>
              <xdr:spPr>
                <a:xfrm>
                  <a:off x="796060" y="7265677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C</a:t>
                  </a:r>
                </a:p>
              </xdr:txBody>
            </xdr:sp>
          </xdr:grpSp>
        </xdr:grpSp>
        <xdr:cxnSp macro="">
          <xdr:nvCxnSpPr>
            <xdr:cNvPr id="325" name="Gewinkelte Verbindung 35"/>
            <xdr:cNvCxnSpPr>
              <a:stCxn id="328" idx="1"/>
              <a:endCxn id="326" idx="0"/>
            </xdr:cNvCxnSpPr>
          </xdr:nvCxnSpPr>
          <xdr:spPr>
            <a:xfrm rot="16200000" flipH="1" flipV="1">
              <a:off x="602863" y="6859022"/>
              <a:ext cx="98961" cy="340153"/>
            </a:xfrm>
            <a:prstGeom prst="curvedConnector3">
              <a:avLst>
                <a:gd name="adj1" fmla="val -39124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30" name="Gewinkelte Verbindung 35"/>
          <xdr:cNvCxnSpPr>
            <a:stCxn id="329" idx="3"/>
            <a:endCxn id="326" idx="4"/>
          </xdr:cNvCxnSpPr>
        </xdr:nvCxnSpPr>
        <xdr:spPr>
          <a:xfrm rot="5400000" flipH="1">
            <a:off x="589477" y="9410600"/>
            <a:ext cx="98961" cy="340153"/>
          </a:xfrm>
          <a:prstGeom prst="curvedConnector3">
            <a:avLst>
              <a:gd name="adj1" fmla="val -54732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202568</xdr:colOff>
      <xdr:row>25</xdr:row>
      <xdr:rowOff>76726</xdr:rowOff>
    </xdr:from>
    <xdr:to>
      <xdr:col>1</xdr:col>
      <xdr:colOff>787949</xdr:colOff>
      <xdr:row>25</xdr:row>
      <xdr:rowOff>507368</xdr:rowOff>
    </xdr:to>
    <xdr:grpSp>
      <xdr:nvGrpSpPr>
        <xdr:cNvPr id="335" name="Gruppieren 275"/>
        <xdr:cNvGrpSpPr/>
      </xdr:nvGrpSpPr>
      <xdr:grpSpPr>
        <a:xfrm>
          <a:off x="421440" y="10363726"/>
          <a:ext cx="585381" cy="430642"/>
          <a:chOff x="392267" y="6953259"/>
          <a:chExt cx="585381" cy="430642"/>
        </a:xfrm>
      </xdr:grpSpPr>
      <xdr:cxnSp macro="">
        <xdr:nvCxnSpPr>
          <xdr:cNvPr id="336" name="Gewinkelte Verbindung 35"/>
          <xdr:cNvCxnSpPr>
            <a:stCxn id="340" idx="7"/>
            <a:endCxn id="342" idx="2"/>
          </xdr:cNvCxnSpPr>
        </xdr:nvCxnSpPr>
        <xdr:spPr>
          <a:xfrm rot="5400000" flipH="1" flipV="1">
            <a:off x="640143" y="6949024"/>
            <a:ext cx="61681" cy="25015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7" name="Gewinkelte Verbindung 35"/>
          <xdr:cNvCxnSpPr>
            <a:stCxn id="340" idx="5"/>
            <a:endCxn id="343" idx="2"/>
          </xdr:cNvCxnSpPr>
        </xdr:nvCxnSpPr>
        <xdr:spPr>
          <a:xfrm rot="16200000" flipH="1">
            <a:off x="640143" y="7137983"/>
            <a:ext cx="61681" cy="25015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38" name="Gruppieren 259"/>
          <xdr:cNvGrpSpPr/>
        </xdr:nvGrpSpPr>
        <xdr:grpSpPr>
          <a:xfrm>
            <a:off x="392267" y="6953259"/>
            <a:ext cx="583793" cy="430642"/>
            <a:chOff x="392267" y="6953259"/>
            <a:chExt cx="583793" cy="430642"/>
          </a:xfrm>
        </xdr:grpSpPr>
        <xdr:sp macro="" textlink="">
          <xdr:nvSpPr>
            <xdr:cNvPr id="340" name="Ellipse 339"/>
            <xdr:cNvSpPr/>
          </xdr:nvSpPr>
          <xdr:spPr>
            <a:xfrm>
              <a:off x="392267" y="7078580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grpSp>
          <xdr:nvGrpSpPr>
            <xdr:cNvPr id="341" name="Gruppieren 245"/>
            <xdr:cNvGrpSpPr/>
          </xdr:nvGrpSpPr>
          <xdr:grpSpPr>
            <a:xfrm>
              <a:off x="796060" y="6953259"/>
              <a:ext cx="180000" cy="430642"/>
              <a:chOff x="796060" y="7015035"/>
              <a:chExt cx="180000" cy="430642"/>
            </a:xfrm>
          </xdr:grpSpPr>
          <xdr:sp macro="" textlink="">
            <xdr:nvSpPr>
              <xdr:cNvPr id="342" name="Ellipse 341"/>
              <xdr:cNvSpPr/>
            </xdr:nvSpPr>
            <xdr:spPr>
              <a:xfrm>
                <a:off x="796060" y="7015035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B</a:t>
                </a:r>
              </a:p>
            </xdr:txBody>
          </xdr:sp>
          <xdr:sp macro="" textlink="">
            <xdr:nvSpPr>
              <xdr:cNvPr id="343" name="Ellipse 342"/>
              <xdr:cNvSpPr/>
            </xdr:nvSpPr>
            <xdr:spPr>
              <a:xfrm>
                <a:off x="796060" y="7265677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C</a:t>
                </a:r>
              </a:p>
            </xdr:txBody>
          </xdr:sp>
        </xdr:grpSp>
      </xdr:grpSp>
      <xdr:cxnSp macro="">
        <xdr:nvCxnSpPr>
          <xdr:cNvPr id="339" name="Gewinkelte Verbindung 35"/>
          <xdr:cNvCxnSpPr>
            <a:stCxn id="342" idx="6"/>
            <a:endCxn id="343" idx="6"/>
          </xdr:cNvCxnSpPr>
        </xdr:nvCxnSpPr>
        <xdr:spPr>
          <a:xfrm>
            <a:off x="976060" y="7043259"/>
            <a:ext cx="1588" cy="250642"/>
          </a:xfrm>
          <a:prstGeom prst="curvedConnector3">
            <a:avLst>
              <a:gd name="adj1" fmla="val 3858314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202568</xdr:colOff>
      <xdr:row>26</xdr:row>
      <xdr:rowOff>74666</xdr:rowOff>
    </xdr:from>
    <xdr:to>
      <xdr:col>1</xdr:col>
      <xdr:colOff>787949</xdr:colOff>
      <xdr:row>26</xdr:row>
      <xdr:rowOff>505308</xdr:rowOff>
    </xdr:to>
    <xdr:grpSp>
      <xdr:nvGrpSpPr>
        <xdr:cNvPr id="366" name="Gruppieren 365"/>
        <xdr:cNvGrpSpPr/>
      </xdr:nvGrpSpPr>
      <xdr:grpSpPr>
        <a:xfrm>
          <a:off x="421440" y="10933166"/>
          <a:ext cx="585381" cy="430642"/>
          <a:chOff x="343357" y="10371963"/>
          <a:chExt cx="585381" cy="430642"/>
        </a:xfrm>
      </xdr:grpSpPr>
      <xdr:grpSp>
        <xdr:nvGrpSpPr>
          <xdr:cNvPr id="353" name="Gruppieren 275"/>
          <xdr:cNvGrpSpPr/>
        </xdr:nvGrpSpPr>
        <xdr:grpSpPr>
          <a:xfrm>
            <a:off x="343357" y="10371963"/>
            <a:ext cx="585381" cy="430642"/>
            <a:chOff x="392267" y="6953259"/>
            <a:chExt cx="585381" cy="430642"/>
          </a:xfrm>
        </xdr:grpSpPr>
        <xdr:cxnSp macro="">
          <xdr:nvCxnSpPr>
            <xdr:cNvPr id="354" name="Gewinkelte Verbindung 35"/>
            <xdr:cNvCxnSpPr>
              <a:stCxn id="358" idx="7"/>
              <a:endCxn id="360" idx="2"/>
            </xdr:cNvCxnSpPr>
          </xdr:nvCxnSpPr>
          <xdr:spPr>
            <a:xfrm rot="5400000" flipH="1" flipV="1">
              <a:off x="640143" y="6949024"/>
              <a:ext cx="61681" cy="250153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5" name="Gewinkelte Verbindung 35"/>
            <xdr:cNvCxnSpPr>
              <a:stCxn id="358" idx="5"/>
              <a:endCxn id="361" idx="2"/>
            </xdr:cNvCxnSpPr>
          </xdr:nvCxnSpPr>
          <xdr:spPr>
            <a:xfrm rot="16200000" flipH="1">
              <a:off x="640143" y="7137983"/>
              <a:ext cx="61681" cy="250153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356" name="Gruppieren 259"/>
            <xdr:cNvGrpSpPr/>
          </xdr:nvGrpSpPr>
          <xdr:grpSpPr>
            <a:xfrm>
              <a:off x="392267" y="6953259"/>
              <a:ext cx="583793" cy="430642"/>
              <a:chOff x="392267" y="6953259"/>
              <a:chExt cx="583793" cy="430642"/>
            </a:xfrm>
          </xdr:grpSpPr>
          <xdr:sp macro="" textlink="">
            <xdr:nvSpPr>
              <xdr:cNvPr id="358" name="Ellipse 357"/>
              <xdr:cNvSpPr/>
            </xdr:nvSpPr>
            <xdr:spPr>
              <a:xfrm>
                <a:off x="392267" y="7078580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A</a:t>
                </a:r>
              </a:p>
            </xdr:txBody>
          </xdr:sp>
          <xdr:grpSp>
            <xdr:nvGrpSpPr>
              <xdr:cNvPr id="359" name="Gruppieren 245"/>
              <xdr:cNvGrpSpPr/>
            </xdr:nvGrpSpPr>
            <xdr:grpSpPr>
              <a:xfrm>
                <a:off x="796060" y="6953259"/>
                <a:ext cx="180000" cy="430642"/>
                <a:chOff x="796060" y="7015035"/>
                <a:chExt cx="180000" cy="430642"/>
              </a:xfrm>
            </xdr:grpSpPr>
            <xdr:sp macro="" textlink="">
              <xdr:nvSpPr>
                <xdr:cNvPr id="360" name="Ellipse 359"/>
                <xdr:cNvSpPr/>
              </xdr:nvSpPr>
              <xdr:spPr>
                <a:xfrm>
                  <a:off x="796060" y="7015035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B</a:t>
                  </a:r>
                </a:p>
              </xdr:txBody>
            </xdr:sp>
            <xdr:sp macro="" textlink="">
              <xdr:nvSpPr>
                <xdr:cNvPr id="361" name="Ellipse 360"/>
                <xdr:cNvSpPr/>
              </xdr:nvSpPr>
              <xdr:spPr>
                <a:xfrm>
                  <a:off x="796060" y="7265677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C</a:t>
                  </a:r>
                </a:p>
              </xdr:txBody>
            </xdr:sp>
          </xdr:grpSp>
        </xdr:grpSp>
        <xdr:cxnSp macro="">
          <xdr:nvCxnSpPr>
            <xdr:cNvPr id="357" name="Gewinkelte Verbindung 35"/>
            <xdr:cNvCxnSpPr>
              <a:stCxn id="360" idx="6"/>
              <a:endCxn id="361" idx="6"/>
            </xdr:cNvCxnSpPr>
          </xdr:nvCxnSpPr>
          <xdr:spPr>
            <a:xfrm>
              <a:off x="976060" y="7043259"/>
              <a:ext cx="1588" cy="250642"/>
            </a:xfrm>
            <a:prstGeom prst="curvedConnector3">
              <a:avLst>
                <a:gd name="adj1" fmla="val 3858314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62" name="Gewinkelte Verbindung 35"/>
          <xdr:cNvCxnSpPr>
            <a:stCxn id="361" idx="1"/>
            <a:endCxn id="361" idx="7"/>
          </xdr:cNvCxnSpPr>
        </xdr:nvCxnSpPr>
        <xdr:spPr>
          <a:xfrm rot="5400000" flipH="1" flipV="1">
            <a:off x="837150" y="10585325"/>
            <a:ext cx="1588" cy="127280"/>
          </a:xfrm>
          <a:prstGeom prst="curvedConnector3">
            <a:avLst>
              <a:gd name="adj1" fmla="val 4707621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202568</xdr:colOff>
      <xdr:row>27</xdr:row>
      <xdr:rowOff>64884</xdr:rowOff>
    </xdr:from>
    <xdr:to>
      <xdr:col>1</xdr:col>
      <xdr:colOff>787949</xdr:colOff>
      <xdr:row>27</xdr:row>
      <xdr:rowOff>495526</xdr:rowOff>
    </xdr:to>
    <xdr:grpSp>
      <xdr:nvGrpSpPr>
        <xdr:cNvPr id="367" name="Gruppieren 366"/>
        <xdr:cNvGrpSpPr/>
      </xdr:nvGrpSpPr>
      <xdr:grpSpPr>
        <a:xfrm>
          <a:off x="421440" y="11494884"/>
          <a:ext cx="585381" cy="430642"/>
          <a:chOff x="343357" y="10371963"/>
          <a:chExt cx="585381" cy="430642"/>
        </a:xfrm>
      </xdr:grpSpPr>
      <xdr:grpSp>
        <xdr:nvGrpSpPr>
          <xdr:cNvPr id="368" name="Gruppieren 275"/>
          <xdr:cNvGrpSpPr/>
        </xdr:nvGrpSpPr>
        <xdr:grpSpPr>
          <a:xfrm>
            <a:off x="343357" y="10371963"/>
            <a:ext cx="585381" cy="430642"/>
            <a:chOff x="392267" y="6953259"/>
            <a:chExt cx="585381" cy="430642"/>
          </a:xfrm>
        </xdr:grpSpPr>
        <xdr:cxnSp macro="">
          <xdr:nvCxnSpPr>
            <xdr:cNvPr id="370" name="Gewinkelte Verbindung 35"/>
            <xdr:cNvCxnSpPr>
              <a:stCxn id="374" idx="7"/>
              <a:endCxn id="376" idx="2"/>
            </xdr:cNvCxnSpPr>
          </xdr:nvCxnSpPr>
          <xdr:spPr>
            <a:xfrm rot="5400000" flipH="1" flipV="1">
              <a:off x="640143" y="6949024"/>
              <a:ext cx="61681" cy="250153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1" name="Gewinkelte Verbindung 35"/>
            <xdr:cNvCxnSpPr>
              <a:stCxn id="374" idx="5"/>
              <a:endCxn id="377" idx="2"/>
            </xdr:cNvCxnSpPr>
          </xdr:nvCxnSpPr>
          <xdr:spPr>
            <a:xfrm rot="16200000" flipH="1">
              <a:off x="640143" y="7137983"/>
              <a:ext cx="61681" cy="250153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372" name="Gruppieren 259"/>
            <xdr:cNvGrpSpPr/>
          </xdr:nvGrpSpPr>
          <xdr:grpSpPr>
            <a:xfrm>
              <a:off x="392267" y="6953259"/>
              <a:ext cx="583793" cy="430642"/>
              <a:chOff x="392267" y="6953259"/>
              <a:chExt cx="583793" cy="430642"/>
            </a:xfrm>
          </xdr:grpSpPr>
          <xdr:sp macro="" textlink="">
            <xdr:nvSpPr>
              <xdr:cNvPr id="374" name="Ellipse 373"/>
              <xdr:cNvSpPr/>
            </xdr:nvSpPr>
            <xdr:spPr>
              <a:xfrm>
                <a:off x="392267" y="7078580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A</a:t>
                </a:r>
              </a:p>
            </xdr:txBody>
          </xdr:sp>
          <xdr:grpSp>
            <xdr:nvGrpSpPr>
              <xdr:cNvPr id="375" name="Gruppieren 245"/>
              <xdr:cNvGrpSpPr/>
            </xdr:nvGrpSpPr>
            <xdr:grpSpPr>
              <a:xfrm>
                <a:off x="796060" y="6953259"/>
                <a:ext cx="180000" cy="430642"/>
                <a:chOff x="796060" y="7015035"/>
                <a:chExt cx="180000" cy="430642"/>
              </a:xfrm>
            </xdr:grpSpPr>
            <xdr:sp macro="" textlink="">
              <xdr:nvSpPr>
                <xdr:cNvPr id="376" name="Ellipse 375"/>
                <xdr:cNvSpPr/>
              </xdr:nvSpPr>
              <xdr:spPr>
                <a:xfrm>
                  <a:off x="796060" y="7015035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B</a:t>
                  </a:r>
                </a:p>
              </xdr:txBody>
            </xdr:sp>
            <xdr:sp macro="" textlink="">
              <xdr:nvSpPr>
                <xdr:cNvPr id="377" name="Ellipse 376"/>
                <xdr:cNvSpPr/>
              </xdr:nvSpPr>
              <xdr:spPr>
                <a:xfrm>
                  <a:off x="796060" y="7265677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C</a:t>
                  </a:r>
                </a:p>
              </xdr:txBody>
            </xdr:sp>
          </xdr:grpSp>
        </xdr:grpSp>
        <xdr:cxnSp macro="">
          <xdr:nvCxnSpPr>
            <xdr:cNvPr id="373" name="Gewinkelte Verbindung 35"/>
            <xdr:cNvCxnSpPr>
              <a:stCxn id="376" idx="6"/>
              <a:endCxn id="377" idx="6"/>
            </xdr:cNvCxnSpPr>
          </xdr:nvCxnSpPr>
          <xdr:spPr>
            <a:xfrm>
              <a:off x="976060" y="7043259"/>
              <a:ext cx="1588" cy="250642"/>
            </a:xfrm>
            <a:prstGeom prst="curvedConnector3">
              <a:avLst>
                <a:gd name="adj1" fmla="val 3858314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69" name="Gewinkelte Verbindung 35"/>
          <xdr:cNvCxnSpPr>
            <a:stCxn id="377" idx="1"/>
            <a:endCxn id="376" idx="3"/>
          </xdr:cNvCxnSpPr>
        </xdr:nvCxnSpPr>
        <xdr:spPr>
          <a:xfrm rot="5400000" flipH="1" flipV="1">
            <a:off x="711829" y="10587284"/>
            <a:ext cx="123362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214143</xdr:colOff>
      <xdr:row>28</xdr:row>
      <xdr:rowOff>83088</xdr:rowOff>
    </xdr:from>
    <xdr:to>
      <xdr:col>1</xdr:col>
      <xdr:colOff>776373</xdr:colOff>
      <xdr:row>28</xdr:row>
      <xdr:rowOff>692973</xdr:rowOff>
    </xdr:to>
    <xdr:grpSp>
      <xdr:nvGrpSpPr>
        <xdr:cNvPr id="419" name="Gruppieren 418"/>
        <xdr:cNvGrpSpPr/>
      </xdr:nvGrpSpPr>
      <xdr:grpSpPr>
        <a:xfrm>
          <a:off x="433015" y="12084588"/>
          <a:ext cx="562230" cy="609885"/>
          <a:chOff x="248232" y="11430129"/>
          <a:chExt cx="562230" cy="609885"/>
        </a:xfrm>
      </xdr:grpSpPr>
      <xdr:sp macro="" textlink="">
        <xdr:nvSpPr>
          <xdr:cNvPr id="405" name="Ellipse 404"/>
          <xdr:cNvSpPr/>
        </xdr:nvSpPr>
        <xdr:spPr>
          <a:xfrm>
            <a:off x="248232" y="1164475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sp macro="" textlink="">
        <xdr:nvSpPr>
          <xdr:cNvPr id="406" name="Ellipse 405"/>
          <xdr:cNvSpPr/>
        </xdr:nvSpPr>
        <xdr:spPr>
          <a:xfrm>
            <a:off x="628779" y="1164475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cxnSp macro="">
        <xdr:nvCxnSpPr>
          <xdr:cNvPr id="407" name="Gewinkelte Verbindung 35"/>
          <xdr:cNvCxnSpPr>
            <a:stCxn id="405" idx="6"/>
            <a:endCxn id="406" idx="2"/>
          </xdr:cNvCxnSpPr>
        </xdr:nvCxnSpPr>
        <xdr:spPr>
          <a:xfrm>
            <a:off x="428232" y="11734758"/>
            <a:ext cx="200547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08" name="Ellipse 407"/>
          <xdr:cNvSpPr/>
        </xdr:nvSpPr>
        <xdr:spPr>
          <a:xfrm>
            <a:off x="628327" y="11860014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D</a:t>
            </a:r>
          </a:p>
        </xdr:txBody>
      </xdr:sp>
      <xdr:cxnSp macro="">
        <xdr:nvCxnSpPr>
          <xdr:cNvPr id="409" name="Gewinkelte Verbindung 35"/>
          <xdr:cNvCxnSpPr>
            <a:stCxn id="405" idx="5"/>
            <a:endCxn id="408" idx="2"/>
          </xdr:cNvCxnSpPr>
        </xdr:nvCxnSpPr>
        <xdr:spPr>
          <a:xfrm rot="16200000" flipH="1">
            <a:off x="439291" y="11760978"/>
            <a:ext cx="151616" cy="22645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2" name="Ellipse 411"/>
          <xdr:cNvSpPr/>
        </xdr:nvSpPr>
        <xdr:spPr>
          <a:xfrm>
            <a:off x="624607" y="11430129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413" name="Gewinkelte Verbindung 35"/>
          <xdr:cNvCxnSpPr>
            <a:stCxn id="405" idx="7"/>
            <a:endCxn id="412" idx="2"/>
          </xdr:cNvCxnSpPr>
        </xdr:nvCxnSpPr>
        <xdr:spPr>
          <a:xfrm rot="5400000" flipH="1" flipV="1">
            <a:off x="437745" y="11484257"/>
            <a:ext cx="150989" cy="22273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214143</xdr:colOff>
      <xdr:row>29</xdr:row>
      <xdr:rowOff>75295</xdr:rowOff>
    </xdr:from>
    <xdr:to>
      <xdr:col>1</xdr:col>
      <xdr:colOff>776373</xdr:colOff>
      <xdr:row>29</xdr:row>
      <xdr:rowOff>685180</xdr:rowOff>
    </xdr:to>
    <xdr:grpSp>
      <xdr:nvGrpSpPr>
        <xdr:cNvPr id="421" name="Gruppieren 420"/>
        <xdr:cNvGrpSpPr/>
      </xdr:nvGrpSpPr>
      <xdr:grpSpPr>
        <a:xfrm>
          <a:off x="433015" y="12838795"/>
          <a:ext cx="562230" cy="609885"/>
          <a:chOff x="248232" y="11430129"/>
          <a:chExt cx="562230" cy="609885"/>
        </a:xfrm>
      </xdr:grpSpPr>
      <xdr:sp macro="" textlink="">
        <xdr:nvSpPr>
          <xdr:cNvPr id="422" name="Ellipse 421"/>
          <xdr:cNvSpPr/>
        </xdr:nvSpPr>
        <xdr:spPr>
          <a:xfrm>
            <a:off x="248232" y="1164475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sp macro="" textlink="">
        <xdr:nvSpPr>
          <xdr:cNvPr id="423" name="Ellipse 422"/>
          <xdr:cNvSpPr/>
        </xdr:nvSpPr>
        <xdr:spPr>
          <a:xfrm>
            <a:off x="628779" y="1164475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cxnSp macro="">
        <xdr:nvCxnSpPr>
          <xdr:cNvPr id="424" name="Gewinkelte Verbindung 35"/>
          <xdr:cNvCxnSpPr>
            <a:stCxn id="422" idx="6"/>
            <a:endCxn id="423" idx="2"/>
          </xdr:cNvCxnSpPr>
        </xdr:nvCxnSpPr>
        <xdr:spPr>
          <a:xfrm>
            <a:off x="428232" y="11734758"/>
            <a:ext cx="200547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5" name="Ellipse 424"/>
          <xdr:cNvSpPr/>
        </xdr:nvSpPr>
        <xdr:spPr>
          <a:xfrm>
            <a:off x="628327" y="11860014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D</a:t>
            </a:r>
          </a:p>
        </xdr:txBody>
      </xdr:sp>
      <xdr:cxnSp macro="">
        <xdr:nvCxnSpPr>
          <xdr:cNvPr id="426" name="Gewinkelte Verbindung 35"/>
          <xdr:cNvCxnSpPr>
            <a:stCxn id="422" idx="5"/>
            <a:endCxn id="425" idx="2"/>
          </xdr:cNvCxnSpPr>
        </xdr:nvCxnSpPr>
        <xdr:spPr>
          <a:xfrm rot="16200000" flipH="1">
            <a:off x="439291" y="11760978"/>
            <a:ext cx="151616" cy="22645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7" name="Ellipse 426"/>
          <xdr:cNvSpPr/>
        </xdr:nvSpPr>
        <xdr:spPr>
          <a:xfrm>
            <a:off x="624607" y="11430129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428" name="Gewinkelte Verbindung 35"/>
          <xdr:cNvCxnSpPr>
            <a:stCxn id="422" idx="7"/>
            <a:endCxn id="427" idx="2"/>
          </xdr:cNvCxnSpPr>
        </xdr:nvCxnSpPr>
        <xdr:spPr>
          <a:xfrm rot="5400000" flipH="1" flipV="1">
            <a:off x="437745" y="11484257"/>
            <a:ext cx="150989" cy="22273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772653</xdr:colOff>
      <xdr:row>29</xdr:row>
      <xdr:rowOff>165295</xdr:rowOff>
    </xdr:from>
    <xdr:to>
      <xdr:col>1</xdr:col>
      <xdr:colOff>774690</xdr:colOff>
      <xdr:row>29</xdr:row>
      <xdr:rowOff>379924</xdr:rowOff>
    </xdr:to>
    <xdr:cxnSp macro="">
      <xdr:nvCxnSpPr>
        <xdr:cNvPr id="437" name="Gewinkelte Verbindung 35"/>
        <xdr:cNvCxnSpPr>
          <a:stCxn id="427" idx="6"/>
          <a:endCxn id="423" idx="6"/>
        </xdr:cNvCxnSpPr>
      </xdr:nvCxnSpPr>
      <xdr:spPr>
        <a:xfrm>
          <a:off x="992919" y="12369201"/>
          <a:ext cx="2037" cy="214629"/>
        </a:xfrm>
        <a:prstGeom prst="curvedConnector3">
          <a:avLst>
            <a:gd name="adj1" fmla="val 4520964"/>
          </a:avLst>
        </a:prstGeom>
        <a:ln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774690</xdr:colOff>
      <xdr:row>29</xdr:row>
      <xdr:rowOff>379924</xdr:rowOff>
    </xdr:from>
    <xdr:to>
      <xdr:col>1</xdr:col>
      <xdr:colOff>776373</xdr:colOff>
      <xdr:row>29</xdr:row>
      <xdr:rowOff>595180</xdr:rowOff>
    </xdr:to>
    <xdr:cxnSp macro="">
      <xdr:nvCxnSpPr>
        <xdr:cNvPr id="441" name="Gewinkelte Verbindung 35"/>
        <xdr:cNvCxnSpPr>
          <a:stCxn id="423" idx="6"/>
          <a:endCxn id="425" idx="6"/>
        </xdr:cNvCxnSpPr>
      </xdr:nvCxnSpPr>
      <xdr:spPr>
        <a:xfrm>
          <a:off x="994956" y="12583830"/>
          <a:ext cx="1683" cy="215256"/>
        </a:xfrm>
        <a:prstGeom prst="curvedConnector3">
          <a:avLst>
            <a:gd name="adj1" fmla="val 5708083"/>
          </a:avLst>
        </a:prstGeom>
        <a:ln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23110</xdr:colOff>
      <xdr:row>30</xdr:row>
      <xdr:rowOff>76160</xdr:rowOff>
    </xdr:from>
    <xdr:to>
      <xdr:col>1</xdr:col>
      <xdr:colOff>967406</xdr:colOff>
      <xdr:row>30</xdr:row>
      <xdr:rowOff>686045</xdr:rowOff>
    </xdr:to>
    <xdr:grpSp>
      <xdr:nvGrpSpPr>
        <xdr:cNvPr id="469" name="Gruppieren 468"/>
        <xdr:cNvGrpSpPr/>
      </xdr:nvGrpSpPr>
      <xdr:grpSpPr>
        <a:xfrm>
          <a:off x="241982" y="13601660"/>
          <a:ext cx="944296" cy="609885"/>
          <a:chOff x="247375" y="13039378"/>
          <a:chExt cx="944296" cy="609885"/>
        </a:xfrm>
      </xdr:grpSpPr>
      <xdr:grpSp>
        <xdr:nvGrpSpPr>
          <xdr:cNvPr id="429" name="Gruppieren 428"/>
          <xdr:cNvGrpSpPr/>
        </xdr:nvGrpSpPr>
        <xdr:grpSpPr>
          <a:xfrm>
            <a:off x="247375" y="13039378"/>
            <a:ext cx="562230" cy="609885"/>
            <a:chOff x="248232" y="11430129"/>
            <a:chExt cx="562230" cy="609885"/>
          </a:xfrm>
        </xdr:grpSpPr>
        <xdr:sp macro="" textlink="">
          <xdr:nvSpPr>
            <xdr:cNvPr id="430" name="Ellipse 429"/>
            <xdr:cNvSpPr/>
          </xdr:nvSpPr>
          <xdr:spPr>
            <a:xfrm>
              <a:off x="248232" y="1164475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sp macro="" textlink="">
          <xdr:nvSpPr>
            <xdr:cNvPr id="431" name="Ellipse 430"/>
            <xdr:cNvSpPr/>
          </xdr:nvSpPr>
          <xdr:spPr>
            <a:xfrm>
              <a:off x="628779" y="1164475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cxnSp macro="">
          <xdr:nvCxnSpPr>
            <xdr:cNvPr id="432" name="Gewinkelte Verbindung 35"/>
            <xdr:cNvCxnSpPr>
              <a:stCxn id="430" idx="6"/>
              <a:endCxn id="431" idx="2"/>
            </xdr:cNvCxnSpPr>
          </xdr:nvCxnSpPr>
          <xdr:spPr>
            <a:xfrm>
              <a:off x="428232" y="11734758"/>
              <a:ext cx="200547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33" name="Ellipse 432"/>
            <xdr:cNvSpPr/>
          </xdr:nvSpPr>
          <xdr:spPr>
            <a:xfrm>
              <a:off x="628327" y="11860014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  <xdr:cxnSp macro="">
          <xdr:nvCxnSpPr>
            <xdr:cNvPr id="434" name="Gewinkelte Verbindung 35"/>
            <xdr:cNvCxnSpPr>
              <a:stCxn id="430" idx="5"/>
              <a:endCxn id="433" idx="2"/>
            </xdr:cNvCxnSpPr>
          </xdr:nvCxnSpPr>
          <xdr:spPr>
            <a:xfrm rot="16200000" flipH="1">
              <a:off x="439291" y="11760978"/>
              <a:ext cx="151616" cy="226455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35" name="Ellipse 434"/>
            <xdr:cNvSpPr/>
          </xdr:nvSpPr>
          <xdr:spPr>
            <a:xfrm>
              <a:off x="624607" y="11430129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cxnSp macro="">
          <xdr:nvCxnSpPr>
            <xdr:cNvPr id="436" name="Gewinkelte Verbindung 35"/>
            <xdr:cNvCxnSpPr>
              <a:stCxn id="430" idx="7"/>
              <a:endCxn id="435" idx="2"/>
            </xdr:cNvCxnSpPr>
          </xdr:nvCxnSpPr>
          <xdr:spPr>
            <a:xfrm rot="5400000" flipH="1" flipV="1">
              <a:off x="437745" y="11484257"/>
              <a:ext cx="150989" cy="222735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55" name="Gruppieren 109"/>
          <xdr:cNvGrpSpPr/>
        </xdr:nvGrpSpPr>
        <xdr:grpSpPr>
          <a:xfrm>
            <a:off x="807922" y="13254853"/>
            <a:ext cx="383749" cy="180000"/>
            <a:chOff x="815121" y="2777915"/>
            <a:chExt cx="383749" cy="180000"/>
          </a:xfrm>
        </xdr:grpSpPr>
        <xdr:cxnSp macro="">
          <xdr:nvCxnSpPr>
            <xdr:cNvPr id="461" name="Gewinkelte Verbindung 35"/>
            <xdr:cNvCxnSpPr>
              <a:stCxn id="431" idx="6"/>
              <a:endCxn id="460" idx="2"/>
            </xdr:cNvCxnSpPr>
          </xdr:nvCxnSpPr>
          <xdr:spPr>
            <a:xfrm>
              <a:off x="815121" y="2867069"/>
              <a:ext cx="201614" cy="846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60" name="Ellipse 459"/>
            <xdr:cNvSpPr/>
          </xdr:nvSpPr>
          <xdr:spPr>
            <a:xfrm>
              <a:off x="1016735" y="2777915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E</a:t>
              </a:r>
            </a:p>
          </xdr:txBody>
        </xdr:sp>
      </xdr:grpSp>
      <xdr:cxnSp macro="">
        <xdr:nvCxnSpPr>
          <xdr:cNvPr id="463" name="Gewinkelte Verbindung 35"/>
          <xdr:cNvCxnSpPr>
            <a:stCxn id="435" idx="6"/>
            <a:endCxn id="460" idx="1"/>
          </xdr:cNvCxnSpPr>
        </xdr:nvCxnSpPr>
        <xdr:spPr>
          <a:xfrm>
            <a:off x="805885" y="13129378"/>
            <a:ext cx="230324" cy="15183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6" name="Gewinkelte Verbindung 35"/>
          <xdr:cNvCxnSpPr>
            <a:stCxn id="433" idx="6"/>
            <a:endCxn id="460" idx="3"/>
          </xdr:cNvCxnSpPr>
        </xdr:nvCxnSpPr>
        <xdr:spPr>
          <a:xfrm flipV="1">
            <a:off x="809605" y="13408493"/>
            <a:ext cx="226604" cy="150770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45433</xdr:colOff>
      <xdr:row>31</xdr:row>
      <xdr:rowOff>61192</xdr:rowOff>
    </xdr:from>
    <xdr:to>
      <xdr:col>1</xdr:col>
      <xdr:colOff>945084</xdr:colOff>
      <xdr:row>31</xdr:row>
      <xdr:rowOff>741865</xdr:rowOff>
    </xdr:to>
    <xdr:grpSp>
      <xdr:nvGrpSpPr>
        <xdr:cNvPr id="686" name="Gruppieren 685"/>
        <xdr:cNvGrpSpPr/>
      </xdr:nvGrpSpPr>
      <xdr:grpSpPr>
        <a:xfrm>
          <a:off x="264305" y="14348692"/>
          <a:ext cx="899651" cy="680673"/>
          <a:chOff x="233516" y="14536379"/>
          <a:chExt cx="899651" cy="680673"/>
        </a:xfrm>
      </xdr:grpSpPr>
      <xdr:cxnSp macro="">
        <xdr:nvCxnSpPr>
          <xdr:cNvPr id="687" name="Gewinkelte Verbindung 35"/>
          <xdr:cNvCxnSpPr>
            <a:stCxn id="693" idx="7"/>
            <a:endCxn id="700" idx="2"/>
          </xdr:cNvCxnSpPr>
        </xdr:nvCxnSpPr>
        <xdr:spPr>
          <a:xfrm rot="5400000" flipH="1" flipV="1">
            <a:off x="458813" y="14680929"/>
            <a:ext cx="61681" cy="20499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8" name="Gewinkelte Verbindung 35"/>
          <xdr:cNvCxnSpPr>
            <a:stCxn id="693" idx="5"/>
            <a:endCxn id="701" idx="2"/>
          </xdr:cNvCxnSpPr>
        </xdr:nvCxnSpPr>
        <xdr:spPr>
          <a:xfrm rot="16200000" flipH="1">
            <a:off x="458813" y="14869888"/>
            <a:ext cx="61681" cy="20499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9" name="Gewinkelte Verbindung 35"/>
          <xdr:cNvCxnSpPr>
            <a:stCxn id="700" idx="7"/>
            <a:endCxn id="698" idx="2"/>
          </xdr:cNvCxnSpPr>
        </xdr:nvCxnSpPr>
        <xdr:spPr>
          <a:xfrm rot="5400000" flipH="1" flipV="1">
            <a:off x="818196" y="14553974"/>
            <a:ext cx="62566" cy="207376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0" name="Gewinkelte Verbindung 35"/>
          <xdr:cNvCxnSpPr>
            <a:stCxn id="700" idx="6"/>
            <a:endCxn id="699" idx="1"/>
          </xdr:cNvCxnSpPr>
        </xdr:nvCxnSpPr>
        <xdr:spPr>
          <a:xfrm>
            <a:off x="772151" y="14752585"/>
            <a:ext cx="207376" cy="60796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1" name="Gewinkelte Verbindung 35"/>
          <xdr:cNvCxnSpPr>
            <a:stCxn id="701" idx="6"/>
            <a:endCxn id="699" idx="3"/>
          </xdr:cNvCxnSpPr>
        </xdr:nvCxnSpPr>
        <xdr:spPr>
          <a:xfrm flipV="1">
            <a:off x="772151" y="14940661"/>
            <a:ext cx="207376" cy="62566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2" name="Gewinkelte Verbindung 35"/>
          <xdr:cNvCxnSpPr>
            <a:stCxn id="701" idx="5"/>
            <a:endCxn id="697" idx="2"/>
          </xdr:cNvCxnSpPr>
        </xdr:nvCxnSpPr>
        <xdr:spPr>
          <a:xfrm rot="16200000" flipH="1">
            <a:off x="818196" y="14994461"/>
            <a:ext cx="60185" cy="20499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93" name="Ellipse 692"/>
          <xdr:cNvSpPr/>
        </xdr:nvSpPr>
        <xdr:spPr>
          <a:xfrm>
            <a:off x="233516" y="14787906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grpSp>
        <xdr:nvGrpSpPr>
          <xdr:cNvPr id="694" name="Gruppieren 245"/>
          <xdr:cNvGrpSpPr/>
        </xdr:nvGrpSpPr>
        <xdr:grpSpPr>
          <a:xfrm>
            <a:off x="592151" y="14662585"/>
            <a:ext cx="180000" cy="430642"/>
            <a:chOff x="729614" y="7646066"/>
            <a:chExt cx="180000" cy="430642"/>
          </a:xfrm>
        </xdr:grpSpPr>
        <xdr:sp macro="" textlink="">
          <xdr:nvSpPr>
            <xdr:cNvPr id="700" name="Ellipse 699"/>
            <xdr:cNvSpPr/>
          </xdr:nvSpPr>
          <xdr:spPr>
            <a:xfrm>
              <a:off x="729614" y="764606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sp macro="" textlink="">
          <xdr:nvSpPr>
            <xdr:cNvPr id="701" name="Ellipse 700"/>
            <xdr:cNvSpPr/>
          </xdr:nvSpPr>
          <xdr:spPr>
            <a:xfrm>
              <a:off x="729614" y="789670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</xdr:grpSp>
      <xdr:grpSp>
        <xdr:nvGrpSpPr>
          <xdr:cNvPr id="695" name="Gruppieren 614"/>
          <xdr:cNvGrpSpPr/>
        </xdr:nvGrpSpPr>
        <xdr:grpSpPr>
          <a:xfrm>
            <a:off x="950786" y="14536379"/>
            <a:ext cx="182381" cy="680673"/>
            <a:chOff x="950786" y="14536379"/>
            <a:chExt cx="182381" cy="680673"/>
          </a:xfrm>
        </xdr:grpSpPr>
        <xdr:grpSp>
          <xdr:nvGrpSpPr>
            <xdr:cNvPr id="696" name="Gruppieren 245"/>
            <xdr:cNvGrpSpPr/>
          </xdr:nvGrpSpPr>
          <xdr:grpSpPr>
            <a:xfrm>
              <a:off x="953167" y="14536379"/>
              <a:ext cx="180000" cy="430642"/>
              <a:chOff x="714249" y="7646066"/>
              <a:chExt cx="180000" cy="430642"/>
            </a:xfrm>
          </xdr:grpSpPr>
          <xdr:sp macro="" textlink="">
            <xdr:nvSpPr>
              <xdr:cNvPr id="698" name="Ellipse 697"/>
              <xdr:cNvSpPr/>
            </xdr:nvSpPr>
            <xdr:spPr>
              <a:xfrm>
                <a:off x="714249" y="7646066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D</a:t>
                </a:r>
              </a:p>
            </xdr:txBody>
          </xdr:sp>
          <xdr:sp macro="" textlink="">
            <xdr:nvSpPr>
              <xdr:cNvPr id="699" name="Ellipse 698"/>
              <xdr:cNvSpPr/>
            </xdr:nvSpPr>
            <xdr:spPr>
              <a:xfrm>
                <a:off x="714249" y="7896708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E</a:t>
                </a:r>
              </a:p>
            </xdr:txBody>
          </xdr:sp>
        </xdr:grpSp>
        <xdr:sp macro="" textlink="">
          <xdr:nvSpPr>
            <xdr:cNvPr id="697" name="Ellipse 696"/>
            <xdr:cNvSpPr/>
          </xdr:nvSpPr>
          <xdr:spPr>
            <a:xfrm>
              <a:off x="950786" y="15037052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F</a:t>
              </a:r>
            </a:p>
          </xdr:txBody>
        </xdr:sp>
      </xdr:grpSp>
    </xdr:grpSp>
    <xdr:clientData/>
  </xdr:twoCellAnchor>
  <xdr:twoCellAnchor>
    <xdr:from>
      <xdr:col>1</xdr:col>
      <xdr:colOff>21409</xdr:colOff>
      <xdr:row>32</xdr:row>
      <xdr:rowOff>49161</xdr:rowOff>
    </xdr:from>
    <xdr:to>
      <xdr:col>1</xdr:col>
      <xdr:colOff>922648</xdr:colOff>
      <xdr:row>32</xdr:row>
      <xdr:rowOff>729834</xdr:rowOff>
    </xdr:to>
    <xdr:grpSp>
      <xdr:nvGrpSpPr>
        <xdr:cNvPr id="710" name="Gruppieren 709"/>
        <xdr:cNvGrpSpPr/>
      </xdr:nvGrpSpPr>
      <xdr:grpSpPr>
        <a:xfrm>
          <a:off x="240281" y="15098661"/>
          <a:ext cx="901239" cy="680673"/>
          <a:chOff x="233516" y="14536379"/>
          <a:chExt cx="901239" cy="680673"/>
        </a:xfrm>
      </xdr:grpSpPr>
      <xdr:grpSp>
        <xdr:nvGrpSpPr>
          <xdr:cNvPr id="621" name="Gruppieren 620"/>
          <xdr:cNvGrpSpPr/>
        </xdr:nvGrpSpPr>
        <xdr:grpSpPr>
          <a:xfrm>
            <a:off x="233516" y="14536379"/>
            <a:ext cx="899651" cy="680673"/>
            <a:chOff x="233516" y="14536379"/>
            <a:chExt cx="899651" cy="680673"/>
          </a:xfrm>
        </xdr:grpSpPr>
        <xdr:cxnSp macro="">
          <xdr:nvCxnSpPr>
            <xdr:cNvPr id="608" name="Gewinkelte Verbindung 35"/>
            <xdr:cNvCxnSpPr>
              <a:stCxn id="611" idx="7"/>
              <a:endCxn id="613" idx="2"/>
            </xdr:cNvCxnSpPr>
          </xdr:nvCxnSpPr>
          <xdr:spPr>
            <a:xfrm rot="5400000" flipH="1" flipV="1">
              <a:off x="458813" y="14680929"/>
              <a:ext cx="61681" cy="204995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9" name="Gewinkelte Verbindung 35"/>
            <xdr:cNvCxnSpPr>
              <a:stCxn id="611" idx="5"/>
              <a:endCxn id="614" idx="2"/>
            </xdr:cNvCxnSpPr>
          </xdr:nvCxnSpPr>
          <xdr:spPr>
            <a:xfrm rot="16200000" flipH="1">
              <a:off x="458813" y="14869888"/>
              <a:ext cx="61681" cy="204995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0" name="Gewinkelte Verbindung 35"/>
            <xdr:cNvCxnSpPr>
              <a:stCxn id="613" idx="7"/>
              <a:endCxn id="606" idx="2"/>
            </xdr:cNvCxnSpPr>
          </xdr:nvCxnSpPr>
          <xdr:spPr>
            <a:xfrm rot="5400000" flipH="1" flipV="1">
              <a:off x="818196" y="14553974"/>
              <a:ext cx="62566" cy="207376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1" name="Gewinkelte Verbindung 35"/>
            <xdr:cNvCxnSpPr>
              <a:stCxn id="613" idx="6"/>
              <a:endCxn id="607" idx="1"/>
            </xdr:cNvCxnSpPr>
          </xdr:nvCxnSpPr>
          <xdr:spPr>
            <a:xfrm>
              <a:off x="772151" y="14752585"/>
              <a:ext cx="207376" cy="60796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3" name="Gewinkelte Verbindung 35"/>
            <xdr:cNvCxnSpPr>
              <a:stCxn id="614" idx="6"/>
              <a:endCxn id="607" idx="3"/>
            </xdr:cNvCxnSpPr>
          </xdr:nvCxnSpPr>
          <xdr:spPr>
            <a:xfrm flipV="1">
              <a:off x="772151" y="14940661"/>
              <a:ext cx="207376" cy="62566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4" name="Gewinkelte Verbindung 35"/>
            <xdr:cNvCxnSpPr>
              <a:stCxn id="614" idx="5"/>
              <a:endCxn id="605" idx="2"/>
            </xdr:cNvCxnSpPr>
          </xdr:nvCxnSpPr>
          <xdr:spPr>
            <a:xfrm rot="16200000" flipH="1">
              <a:off x="818196" y="14994461"/>
              <a:ext cx="60185" cy="204995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11" name="Ellipse 610"/>
            <xdr:cNvSpPr/>
          </xdr:nvSpPr>
          <xdr:spPr>
            <a:xfrm>
              <a:off x="233516" y="1478790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grpSp>
          <xdr:nvGrpSpPr>
            <xdr:cNvPr id="612" name="Gruppieren 245"/>
            <xdr:cNvGrpSpPr/>
          </xdr:nvGrpSpPr>
          <xdr:grpSpPr>
            <a:xfrm>
              <a:off x="592151" y="14662585"/>
              <a:ext cx="180000" cy="430642"/>
              <a:chOff x="729614" y="7646066"/>
              <a:chExt cx="180000" cy="430642"/>
            </a:xfrm>
          </xdr:grpSpPr>
          <xdr:sp macro="" textlink="">
            <xdr:nvSpPr>
              <xdr:cNvPr id="613" name="Ellipse 612"/>
              <xdr:cNvSpPr/>
            </xdr:nvSpPr>
            <xdr:spPr>
              <a:xfrm>
                <a:off x="729614" y="7646066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B</a:t>
                </a:r>
              </a:p>
            </xdr:txBody>
          </xdr:sp>
          <xdr:sp macro="" textlink="">
            <xdr:nvSpPr>
              <xdr:cNvPr id="614" name="Ellipse 613"/>
              <xdr:cNvSpPr/>
            </xdr:nvSpPr>
            <xdr:spPr>
              <a:xfrm>
                <a:off x="729614" y="7896708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C</a:t>
                </a:r>
              </a:p>
            </xdr:txBody>
          </xdr:sp>
        </xdr:grpSp>
        <xdr:grpSp>
          <xdr:nvGrpSpPr>
            <xdr:cNvPr id="615" name="Gruppieren 614"/>
            <xdr:cNvGrpSpPr/>
          </xdr:nvGrpSpPr>
          <xdr:grpSpPr>
            <a:xfrm>
              <a:off x="950786" y="14536379"/>
              <a:ext cx="182381" cy="680673"/>
              <a:chOff x="950786" y="14536379"/>
              <a:chExt cx="182381" cy="680673"/>
            </a:xfrm>
          </xdr:grpSpPr>
          <xdr:grpSp>
            <xdr:nvGrpSpPr>
              <xdr:cNvPr id="602" name="Gruppieren 245"/>
              <xdr:cNvGrpSpPr/>
            </xdr:nvGrpSpPr>
            <xdr:grpSpPr>
              <a:xfrm>
                <a:off x="953167" y="14536379"/>
                <a:ext cx="180000" cy="430642"/>
                <a:chOff x="714249" y="7646066"/>
                <a:chExt cx="180000" cy="430642"/>
              </a:xfrm>
            </xdr:grpSpPr>
            <xdr:sp macro="" textlink="">
              <xdr:nvSpPr>
                <xdr:cNvPr id="606" name="Ellipse 605"/>
                <xdr:cNvSpPr/>
              </xdr:nvSpPr>
              <xdr:spPr>
                <a:xfrm>
                  <a:off x="714249" y="7646066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D</a:t>
                  </a:r>
                </a:p>
              </xdr:txBody>
            </xdr:sp>
            <xdr:sp macro="" textlink="">
              <xdr:nvSpPr>
                <xdr:cNvPr id="607" name="Ellipse 606"/>
                <xdr:cNvSpPr/>
              </xdr:nvSpPr>
              <xdr:spPr>
                <a:xfrm>
                  <a:off x="714249" y="7896708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E</a:t>
                  </a:r>
                </a:p>
              </xdr:txBody>
            </xdr:sp>
          </xdr:grpSp>
          <xdr:sp macro="" textlink="">
            <xdr:nvSpPr>
              <xdr:cNvPr id="605" name="Ellipse 604"/>
              <xdr:cNvSpPr/>
            </xdr:nvSpPr>
            <xdr:spPr>
              <a:xfrm>
                <a:off x="950786" y="15037052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F</a:t>
                </a:r>
              </a:p>
            </xdr:txBody>
          </xdr:sp>
        </xdr:grpSp>
      </xdr:grpSp>
      <xdr:cxnSp macro="">
        <xdr:nvCxnSpPr>
          <xdr:cNvPr id="702" name="Gewinkelte Verbindung 35"/>
          <xdr:cNvCxnSpPr>
            <a:stCxn id="606" idx="6"/>
            <a:endCxn id="607" idx="6"/>
          </xdr:cNvCxnSpPr>
        </xdr:nvCxnSpPr>
        <xdr:spPr>
          <a:xfrm>
            <a:off x="1133167" y="14626379"/>
            <a:ext cx="1588" cy="250642"/>
          </a:xfrm>
          <a:prstGeom prst="curvedConnector3">
            <a:avLst>
              <a:gd name="adj1" fmla="val 4527646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6" name="Gewinkelte Verbindung 35"/>
          <xdr:cNvCxnSpPr>
            <a:stCxn id="607" idx="6"/>
            <a:endCxn id="605" idx="6"/>
          </xdr:cNvCxnSpPr>
        </xdr:nvCxnSpPr>
        <xdr:spPr>
          <a:xfrm flipH="1">
            <a:off x="1130786" y="14877021"/>
            <a:ext cx="2381" cy="250031"/>
          </a:xfrm>
          <a:prstGeom prst="curvedConnector3">
            <a:avLst>
              <a:gd name="adj1" fmla="val -366489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4567</xdr:colOff>
      <xdr:row>33</xdr:row>
      <xdr:rowOff>52233</xdr:rowOff>
    </xdr:from>
    <xdr:to>
      <xdr:col>1</xdr:col>
      <xdr:colOff>985949</xdr:colOff>
      <xdr:row>33</xdr:row>
      <xdr:rowOff>613767</xdr:rowOff>
    </xdr:to>
    <xdr:grpSp>
      <xdr:nvGrpSpPr>
        <xdr:cNvPr id="755" name="Gruppieren 754"/>
        <xdr:cNvGrpSpPr/>
      </xdr:nvGrpSpPr>
      <xdr:grpSpPr>
        <a:xfrm>
          <a:off x="223439" y="15863733"/>
          <a:ext cx="981382" cy="561534"/>
          <a:chOff x="236342" y="15303663"/>
          <a:chExt cx="981382" cy="561534"/>
        </a:xfrm>
      </xdr:grpSpPr>
      <xdr:cxnSp macro="">
        <xdr:nvCxnSpPr>
          <xdr:cNvPr id="728" name="Gewinkelte Verbindung 35"/>
          <xdr:cNvCxnSpPr>
            <a:stCxn id="734" idx="7"/>
            <a:endCxn id="741" idx="2"/>
          </xdr:cNvCxnSpPr>
        </xdr:nvCxnSpPr>
        <xdr:spPr>
          <a:xfrm rot="5400000" flipH="1" flipV="1">
            <a:off x="415885" y="15493967"/>
            <a:ext cx="61681" cy="11348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9" name="Gewinkelte Verbindung 35"/>
          <xdr:cNvCxnSpPr>
            <a:stCxn id="734" idx="5"/>
            <a:endCxn id="742" idx="2"/>
          </xdr:cNvCxnSpPr>
        </xdr:nvCxnSpPr>
        <xdr:spPr>
          <a:xfrm rot="16200000" flipH="1">
            <a:off x="415885" y="15682926"/>
            <a:ext cx="61681" cy="11348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0" name="Gewinkelte Verbindung 35"/>
          <xdr:cNvCxnSpPr>
            <a:stCxn id="741" idx="7"/>
            <a:endCxn id="739" idx="2"/>
          </xdr:cNvCxnSpPr>
        </xdr:nvCxnSpPr>
        <xdr:spPr>
          <a:xfrm rot="5400000" flipH="1" flipV="1">
            <a:off x="682569" y="15368203"/>
            <a:ext cx="62566" cy="11348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1" name="Gewinkelte Verbindung 35"/>
          <xdr:cNvCxnSpPr>
            <a:stCxn id="741" idx="5"/>
            <a:endCxn id="740" idx="2"/>
          </xdr:cNvCxnSpPr>
        </xdr:nvCxnSpPr>
        <xdr:spPr>
          <a:xfrm rot="16200000" flipH="1">
            <a:off x="683454" y="15557163"/>
            <a:ext cx="60796" cy="11348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34" name="Ellipse 733"/>
          <xdr:cNvSpPr/>
        </xdr:nvSpPr>
        <xdr:spPr>
          <a:xfrm>
            <a:off x="236342" y="15555190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grpSp>
        <xdr:nvGrpSpPr>
          <xdr:cNvPr id="735" name="Gruppieren 245"/>
          <xdr:cNvGrpSpPr/>
        </xdr:nvGrpSpPr>
        <xdr:grpSpPr>
          <a:xfrm>
            <a:off x="503469" y="15429869"/>
            <a:ext cx="180000" cy="430642"/>
            <a:chOff x="729614" y="7646066"/>
            <a:chExt cx="180000" cy="430642"/>
          </a:xfrm>
        </xdr:grpSpPr>
        <xdr:sp macro="" textlink="">
          <xdr:nvSpPr>
            <xdr:cNvPr id="741" name="Ellipse 740"/>
            <xdr:cNvSpPr/>
          </xdr:nvSpPr>
          <xdr:spPr>
            <a:xfrm>
              <a:off x="729614" y="764606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sp macro="" textlink="">
          <xdr:nvSpPr>
            <xdr:cNvPr id="742" name="Ellipse 741"/>
            <xdr:cNvSpPr/>
          </xdr:nvSpPr>
          <xdr:spPr>
            <a:xfrm>
              <a:off x="729614" y="789670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</xdr:grpSp>
      <xdr:grpSp>
        <xdr:nvGrpSpPr>
          <xdr:cNvPr id="737" name="Gruppieren 245"/>
          <xdr:cNvGrpSpPr/>
        </xdr:nvGrpSpPr>
        <xdr:grpSpPr>
          <a:xfrm>
            <a:off x="770596" y="15303663"/>
            <a:ext cx="180000" cy="430642"/>
            <a:chOff x="714249" y="7646066"/>
            <a:chExt cx="180000" cy="430642"/>
          </a:xfrm>
        </xdr:grpSpPr>
        <xdr:sp macro="" textlink="">
          <xdr:nvSpPr>
            <xdr:cNvPr id="739" name="Ellipse 738"/>
            <xdr:cNvSpPr/>
          </xdr:nvSpPr>
          <xdr:spPr>
            <a:xfrm>
              <a:off x="714249" y="764606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  <xdr:sp macro="" textlink="">
          <xdr:nvSpPr>
            <xdr:cNvPr id="740" name="Ellipse 739"/>
            <xdr:cNvSpPr/>
          </xdr:nvSpPr>
          <xdr:spPr>
            <a:xfrm>
              <a:off x="714249" y="789670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E</a:t>
              </a:r>
            </a:p>
          </xdr:txBody>
        </xdr:sp>
      </xdr:grpSp>
      <xdr:grpSp>
        <xdr:nvGrpSpPr>
          <xdr:cNvPr id="745" name="Gruppieren 245"/>
          <xdr:cNvGrpSpPr/>
        </xdr:nvGrpSpPr>
        <xdr:grpSpPr>
          <a:xfrm>
            <a:off x="1037724" y="15434555"/>
            <a:ext cx="180000" cy="430642"/>
            <a:chOff x="714249" y="7646066"/>
            <a:chExt cx="180000" cy="430642"/>
          </a:xfrm>
        </xdr:grpSpPr>
        <xdr:sp macro="" textlink="">
          <xdr:nvSpPr>
            <xdr:cNvPr id="746" name="Ellipse 745"/>
            <xdr:cNvSpPr/>
          </xdr:nvSpPr>
          <xdr:spPr>
            <a:xfrm>
              <a:off x="714249" y="764606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F</a:t>
              </a:r>
            </a:p>
          </xdr:txBody>
        </xdr:sp>
        <xdr:sp macro="" textlink="">
          <xdr:nvSpPr>
            <xdr:cNvPr id="747" name="Ellipse 746"/>
            <xdr:cNvSpPr/>
          </xdr:nvSpPr>
          <xdr:spPr>
            <a:xfrm>
              <a:off x="714249" y="789670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G</a:t>
              </a:r>
            </a:p>
          </xdr:txBody>
        </xdr:sp>
      </xdr:grpSp>
      <xdr:cxnSp macro="">
        <xdr:nvCxnSpPr>
          <xdr:cNvPr id="748" name="Gewinkelte Verbindung 35"/>
          <xdr:cNvCxnSpPr>
            <a:stCxn id="740" idx="7"/>
            <a:endCxn id="746" idx="2"/>
          </xdr:cNvCxnSpPr>
        </xdr:nvCxnSpPr>
        <xdr:spPr>
          <a:xfrm rot="5400000" flipH="1" flipV="1">
            <a:off x="952925" y="15495866"/>
            <a:ext cx="56110" cy="113488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1" name="Gewinkelte Verbindung 35"/>
          <xdr:cNvCxnSpPr>
            <a:stCxn id="740" idx="5"/>
            <a:endCxn id="747" idx="2"/>
          </xdr:cNvCxnSpPr>
        </xdr:nvCxnSpPr>
        <xdr:spPr>
          <a:xfrm rot="16200000" flipH="1">
            <a:off x="947354" y="15684827"/>
            <a:ext cx="67252" cy="113488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214143</xdr:colOff>
      <xdr:row>35</xdr:row>
      <xdr:rowOff>69985</xdr:rowOff>
    </xdr:from>
    <xdr:to>
      <xdr:col>1</xdr:col>
      <xdr:colOff>776373</xdr:colOff>
      <xdr:row>35</xdr:row>
      <xdr:rowOff>679870</xdr:rowOff>
    </xdr:to>
    <xdr:grpSp>
      <xdr:nvGrpSpPr>
        <xdr:cNvPr id="756" name="Gruppieren 755"/>
        <xdr:cNvGrpSpPr/>
      </xdr:nvGrpSpPr>
      <xdr:grpSpPr>
        <a:xfrm>
          <a:off x="433015" y="17425751"/>
          <a:ext cx="562230" cy="609885"/>
          <a:chOff x="248232" y="11430129"/>
          <a:chExt cx="562230" cy="609885"/>
        </a:xfrm>
      </xdr:grpSpPr>
      <xdr:sp macro="" textlink="">
        <xdr:nvSpPr>
          <xdr:cNvPr id="757" name="Ellipse 756"/>
          <xdr:cNvSpPr/>
        </xdr:nvSpPr>
        <xdr:spPr>
          <a:xfrm>
            <a:off x="248232" y="1164475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sp macro="" textlink="">
        <xdr:nvSpPr>
          <xdr:cNvPr id="758" name="Ellipse 757"/>
          <xdr:cNvSpPr/>
        </xdr:nvSpPr>
        <xdr:spPr>
          <a:xfrm>
            <a:off x="628779" y="1164475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cxnSp macro="">
        <xdr:nvCxnSpPr>
          <xdr:cNvPr id="759" name="Gewinkelte Verbindung 35"/>
          <xdr:cNvCxnSpPr>
            <a:stCxn id="757" idx="6"/>
            <a:endCxn id="758" idx="2"/>
          </xdr:cNvCxnSpPr>
        </xdr:nvCxnSpPr>
        <xdr:spPr>
          <a:xfrm>
            <a:off x="428232" y="11734758"/>
            <a:ext cx="200547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60" name="Ellipse 759"/>
          <xdr:cNvSpPr/>
        </xdr:nvSpPr>
        <xdr:spPr>
          <a:xfrm>
            <a:off x="628327" y="11860014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D</a:t>
            </a:r>
          </a:p>
        </xdr:txBody>
      </xdr:sp>
      <xdr:cxnSp macro="">
        <xdr:nvCxnSpPr>
          <xdr:cNvPr id="761" name="Gewinkelte Verbindung 35"/>
          <xdr:cNvCxnSpPr>
            <a:stCxn id="757" idx="5"/>
            <a:endCxn id="760" idx="2"/>
          </xdr:cNvCxnSpPr>
        </xdr:nvCxnSpPr>
        <xdr:spPr>
          <a:xfrm rot="16200000" flipH="1">
            <a:off x="439291" y="11760978"/>
            <a:ext cx="151616" cy="22645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62" name="Ellipse 761"/>
          <xdr:cNvSpPr/>
        </xdr:nvSpPr>
        <xdr:spPr>
          <a:xfrm>
            <a:off x="624607" y="11430129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763" name="Gewinkelte Verbindung 35"/>
          <xdr:cNvCxnSpPr>
            <a:stCxn id="757" idx="7"/>
            <a:endCxn id="762" idx="2"/>
          </xdr:cNvCxnSpPr>
        </xdr:nvCxnSpPr>
        <xdr:spPr>
          <a:xfrm rot="5400000" flipH="1" flipV="1">
            <a:off x="437745" y="11484257"/>
            <a:ext cx="150989" cy="22273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304143</xdr:colOff>
      <xdr:row>35</xdr:row>
      <xdr:rowOff>96344</xdr:rowOff>
    </xdr:from>
    <xdr:to>
      <xdr:col>1</xdr:col>
      <xdr:colOff>617191</xdr:colOff>
      <xdr:row>35</xdr:row>
      <xdr:rowOff>284613</xdr:rowOff>
    </xdr:to>
    <xdr:cxnSp macro="">
      <xdr:nvCxnSpPr>
        <xdr:cNvPr id="764" name="Gewinkelte Verbindung 35"/>
        <xdr:cNvCxnSpPr>
          <a:stCxn id="762" idx="1"/>
          <a:endCxn id="757" idx="0"/>
        </xdr:cNvCxnSpPr>
      </xdr:nvCxnSpPr>
      <xdr:spPr>
        <a:xfrm rot="16200000" flipH="1" flipV="1">
          <a:off x="584910" y="16807248"/>
          <a:ext cx="188269" cy="313048"/>
        </a:xfrm>
        <a:prstGeom prst="curvedConnector3">
          <a:avLst>
            <a:gd name="adj1" fmla="val 313"/>
          </a:avLst>
        </a:prstGeom>
        <a:ln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91832</xdr:colOff>
      <xdr:row>34</xdr:row>
      <xdr:rowOff>13909</xdr:rowOff>
    </xdr:from>
    <xdr:to>
      <xdr:col>1</xdr:col>
      <xdr:colOff>898685</xdr:colOff>
      <xdr:row>34</xdr:row>
      <xdr:rowOff>742407</xdr:rowOff>
    </xdr:to>
    <xdr:grpSp>
      <xdr:nvGrpSpPr>
        <xdr:cNvPr id="828" name="Gruppieren 827"/>
        <xdr:cNvGrpSpPr/>
      </xdr:nvGrpSpPr>
      <xdr:grpSpPr>
        <a:xfrm>
          <a:off x="310704" y="16587409"/>
          <a:ext cx="806853" cy="728498"/>
          <a:chOff x="251920" y="16030286"/>
          <a:chExt cx="806853" cy="728498"/>
        </a:xfrm>
      </xdr:grpSpPr>
      <xdr:cxnSp macro="">
        <xdr:nvCxnSpPr>
          <xdr:cNvPr id="771" name="Gewinkelte Verbindung 35"/>
          <xdr:cNvCxnSpPr>
            <a:stCxn id="803" idx="7"/>
            <a:endCxn id="811" idx="2"/>
          </xdr:cNvCxnSpPr>
        </xdr:nvCxnSpPr>
        <xdr:spPr>
          <a:xfrm rot="5400000" flipH="1" flipV="1">
            <a:off x="772417" y="16059068"/>
            <a:ext cx="54973" cy="177410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2" name="Gewinkelte Verbindung 35"/>
          <xdr:cNvCxnSpPr>
            <a:stCxn id="803" idx="5"/>
            <a:endCxn id="810" idx="2"/>
          </xdr:cNvCxnSpPr>
        </xdr:nvCxnSpPr>
        <xdr:spPr>
          <a:xfrm rot="16200000" flipH="1">
            <a:off x="785642" y="16228094"/>
            <a:ext cx="32376" cy="18126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98" name="Ellipse 797"/>
          <xdr:cNvSpPr/>
        </xdr:nvSpPr>
        <xdr:spPr>
          <a:xfrm>
            <a:off x="251920" y="16363528"/>
            <a:ext cx="166311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800" name="Gewinkelte Verbindung 35"/>
          <xdr:cNvCxnSpPr>
            <a:stCxn id="798" idx="6"/>
            <a:endCxn id="799" idx="2"/>
          </xdr:cNvCxnSpPr>
        </xdr:nvCxnSpPr>
        <xdr:spPr>
          <a:xfrm>
            <a:off x="418231" y="16453528"/>
            <a:ext cx="153183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2" name="Gewinkelte Verbindung 35"/>
          <xdr:cNvCxnSpPr>
            <a:stCxn id="798" idx="5"/>
            <a:endCxn id="801" idx="2"/>
          </xdr:cNvCxnSpPr>
        </xdr:nvCxnSpPr>
        <xdr:spPr>
          <a:xfrm rot="16200000" flipH="1">
            <a:off x="406628" y="16504416"/>
            <a:ext cx="151616" cy="177121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20" name="Gruppieren 819"/>
          <xdr:cNvGrpSpPr/>
        </xdr:nvGrpSpPr>
        <xdr:grpSpPr>
          <a:xfrm>
            <a:off x="567559" y="16148899"/>
            <a:ext cx="171720" cy="609885"/>
            <a:chOff x="552821" y="16102177"/>
            <a:chExt cx="185855" cy="609885"/>
          </a:xfrm>
        </xdr:grpSpPr>
        <xdr:sp macro="" textlink="">
          <xdr:nvSpPr>
            <xdr:cNvPr id="799" name="Ellipse 798"/>
            <xdr:cNvSpPr/>
          </xdr:nvSpPr>
          <xdr:spPr>
            <a:xfrm>
              <a:off x="556993" y="1631680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sp macro="" textlink="">
          <xdr:nvSpPr>
            <xdr:cNvPr id="801" name="Ellipse 800"/>
            <xdr:cNvSpPr/>
          </xdr:nvSpPr>
          <xdr:spPr>
            <a:xfrm>
              <a:off x="556541" y="16532062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  <xdr:sp macro="" textlink="">
          <xdr:nvSpPr>
            <xdr:cNvPr id="803" name="Ellipse 802"/>
            <xdr:cNvSpPr/>
          </xdr:nvSpPr>
          <xdr:spPr>
            <a:xfrm>
              <a:off x="552821" y="16102177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</xdr:grpSp>
      <xdr:cxnSp macro="">
        <xdr:nvCxnSpPr>
          <xdr:cNvPr id="804" name="Gewinkelte Verbindung 35"/>
          <xdr:cNvCxnSpPr>
            <a:stCxn id="798" idx="7"/>
            <a:endCxn id="803" idx="2"/>
          </xdr:cNvCxnSpPr>
        </xdr:nvCxnSpPr>
        <xdr:spPr>
          <a:xfrm rot="5400000" flipH="1" flipV="1">
            <a:off x="405223" y="16227552"/>
            <a:ext cx="150989" cy="173684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12" name="Gruppieren 811"/>
          <xdr:cNvGrpSpPr/>
        </xdr:nvGrpSpPr>
        <xdr:grpSpPr>
          <a:xfrm>
            <a:off x="888608" y="16030286"/>
            <a:ext cx="170165" cy="394629"/>
            <a:chOff x="890693" y="15886517"/>
            <a:chExt cx="184172" cy="394629"/>
          </a:xfrm>
        </xdr:grpSpPr>
        <xdr:sp macro="" textlink="">
          <xdr:nvSpPr>
            <xdr:cNvPr id="810" name="Ellipse 809"/>
            <xdr:cNvSpPr/>
          </xdr:nvSpPr>
          <xdr:spPr>
            <a:xfrm>
              <a:off x="894865" y="1610114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F</a:t>
              </a:r>
            </a:p>
          </xdr:txBody>
        </xdr:sp>
        <xdr:sp macro="" textlink="">
          <xdr:nvSpPr>
            <xdr:cNvPr id="811" name="Ellipse 810"/>
            <xdr:cNvSpPr/>
          </xdr:nvSpPr>
          <xdr:spPr>
            <a:xfrm>
              <a:off x="890693" y="15886517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E</a:t>
              </a:r>
            </a:p>
          </xdr:txBody>
        </xdr:sp>
      </xdr:grpSp>
      <xdr:cxnSp macro="">
        <xdr:nvCxnSpPr>
          <xdr:cNvPr id="817" name="Gewinkelte Verbindung 35"/>
          <xdr:cNvCxnSpPr>
            <a:stCxn id="810" idx="4"/>
            <a:endCxn id="801" idx="6"/>
          </xdr:cNvCxnSpPr>
        </xdr:nvCxnSpPr>
        <xdr:spPr>
          <a:xfrm rot="5400000">
            <a:off x="735515" y="16428680"/>
            <a:ext cx="243869" cy="236339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4" name="Gewinkelte Verbindung 35"/>
          <xdr:cNvCxnSpPr>
            <a:stCxn id="811" idx="6"/>
            <a:endCxn id="810" idx="6"/>
          </xdr:cNvCxnSpPr>
        </xdr:nvCxnSpPr>
        <xdr:spPr>
          <a:xfrm>
            <a:off x="1056891" y="16120286"/>
            <a:ext cx="1882" cy="214629"/>
          </a:xfrm>
          <a:prstGeom prst="curvedConnector3">
            <a:avLst>
              <a:gd name="adj1" fmla="val 4607281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23110</xdr:colOff>
      <xdr:row>36</xdr:row>
      <xdr:rowOff>116898</xdr:rowOff>
    </xdr:from>
    <xdr:to>
      <xdr:col>1</xdr:col>
      <xdr:colOff>967406</xdr:colOff>
      <xdr:row>36</xdr:row>
      <xdr:rowOff>726783</xdr:rowOff>
    </xdr:to>
    <xdr:grpSp>
      <xdr:nvGrpSpPr>
        <xdr:cNvPr id="861" name="Gruppieren 860"/>
        <xdr:cNvGrpSpPr/>
      </xdr:nvGrpSpPr>
      <xdr:grpSpPr>
        <a:xfrm>
          <a:off x="241982" y="18234664"/>
          <a:ext cx="944296" cy="609885"/>
          <a:chOff x="255443" y="17651557"/>
          <a:chExt cx="944296" cy="609885"/>
        </a:xfrm>
      </xdr:grpSpPr>
      <xdr:grpSp>
        <xdr:nvGrpSpPr>
          <xdr:cNvPr id="844" name="Gruppieren 428"/>
          <xdr:cNvGrpSpPr/>
        </xdr:nvGrpSpPr>
        <xdr:grpSpPr>
          <a:xfrm>
            <a:off x="255443" y="17651557"/>
            <a:ext cx="562230" cy="609885"/>
            <a:chOff x="248232" y="11430129"/>
            <a:chExt cx="562230" cy="609885"/>
          </a:xfrm>
        </xdr:grpSpPr>
        <xdr:sp macro="" textlink="">
          <xdr:nvSpPr>
            <xdr:cNvPr id="850" name="Ellipse 849"/>
            <xdr:cNvSpPr/>
          </xdr:nvSpPr>
          <xdr:spPr>
            <a:xfrm>
              <a:off x="248232" y="1164475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sp macro="" textlink="">
          <xdr:nvSpPr>
            <xdr:cNvPr id="851" name="Ellipse 850"/>
            <xdr:cNvSpPr/>
          </xdr:nvSpPr>
          <xdr:spPr>
            <a:xfrm>
              <a:off x="628779" y="1164475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cxnSp macro="">
          <xdr:nvCxnSpPr>
            <xdr:cNvPr id="852" name="Gewinkelte Verbindung 35"/>
            <xdr:cNvCxnSpPr>
              <a:stCxn id="850" idx="6"/>
              <a:endCxn id="851" idx="2"/>
            </xdr:cNvCxnSpPr>
          </xdr:nvCxnSpPr>
          <xdr:spPr>
            <a:xfrm>
              <a:off x="428232" y="11734758"/>
              <a:ext cx="200547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53" name="Ellipse 852"/>
            <xdr:cNvSpPr/>
          </xdr:nvSpPr>
          <xdr:spPr>
            <a:xfrm>
              <a:off x="628327" y="11860014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  <xdr:cxnSp macro="">
          <xdr:nvCxnSpPr>
            <xdr:cNvPr id="854" name="Gewinkelte Verbindung 35"/>
            <xdr:cNvCxnSpPr>
              <a:stCxn id="850" idx="5"/>
              <a:endCxn id="853" idx="2"/>
            </xdr:cNvCxnSpPr>
          </xdr:nvCxnSpPr>
          <xdr:spPr>
            <a:xfrm rot="16200000" flipH="1">
              <a:off x="439291" y="11760978"/>
              <a:ext cx="151616" cy="226455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55" name="Ellipse 854"/>
            <xdr:cNvSpPr/>
          </xdr:nvSpPr>
          <xdr:spPr>
            <a:xfrm>
              <a:off x="624607" y="11430129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cxnSp macro="">
          <xdr:nvCxnSpPr>
            <xdr:cNvPr id="856" name="Gewinkelte Verbindung 35"/>
            <xdr:cNvCxnSpPr>
              <a:stCxn id="850" idx="7"/>
              <a:endCxn id="855" idx="2"/>
            </xdr:cNvCxnSpPr>
          </xdr:nvCxnSpPr>
          <xdr:spPr>
            <a:xfrm rot="5400000" flipH="1" flipV="1">
              <a:off x="437745" y="11484257"/>
              <a:ext cx="150989" cy="222735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845" name="Gruppieren 109"/>
          <xdr:cNvGrpSpPr/>
        </xdr:nvGrpSpPr>
        <xdr:grpSpPr>
          <a:xfrm>
            <a:off x="815990" y="17867032"/>
            <a:ext cx="383749" cy="180000"/>
            <a:chOff x="815121" y="2777915"/>
            <a:chExt cx="383749" cy="180000"/>
          </a:xfrm>
        </xdr:grpSpPr>
        <xdr:sp macro="" textlink="">
          <xdr:nvSpPr>
            <xdr:cNvPr id="848" name="Ellipse 847"/>
            <xdr:cNvSpPr/>
          </xdr:nvSpPr>
          <xdr:spPr>
            <a:xfrm>
              <a:off x="1016735" y="2777915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E</a:t>
              </a:r>
            </a:p>
          </xdr:txBody>
        </xdr:sp>
        <xdr:cxnSp macro="">
          <xdr:nvCxnSpPr>
            <xdr:cNvPr id="849" name="Gewinkelte Verbindung 35"/>
            <xdr:cNvCxnSpPr>
              <a:stCxn id="851" idx="6"/>
              <a:endCxn id="848" idx="2"/>
            </xdr:cNvCxnSpPr>
          </xdr:nvCxnSpPr>
          <xdr:spPr>
            <a:xfrm>
              <a:off x="815121" y="2867069"/>
              <a:ext cx="201614" cy="846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846" name="Gewinkelte Verbindung 35"/>
          <xdr:cNvCxnSpPr>
            <a:stCxn id="855" idx="6"/>
            <a:endCxn id="848" idx="1"/>
          </xdr:cNvCxnSpPr>
        </xdr:nvCxnSpPr>
        <xdr:spPr>
          <a:xfrm>
            <a:off x="813953" y="17741557"/>
            <a:ext cx="230324" cy="151835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7" name="Gewinkelte Verbindung 35"/>
          <xdr:cNvCxnSpPr>
            <a:stCxn id="853" idx="6"/>
            <a:endCxn id="848" idx="3"/>
          </xdr:cNvCxnSpPr>
        </xdr:nvCxnSpPr>
        <xdr:spPr>
          <a:xfrm flipV="1">
            <a:off x="817673" y="18020672"/>
            <a:ext cx="226604" cy="150770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7" name="Gewinkelte Verbindung 35"/>
          <xdr:cNvCxnSpPr>
            <a:stCxn id="848" idx="0"/>
            <a:endCxn id="850" idx="0"/>
          </xdr:cNvCxnSpPr>
        </xdr:nvCxnSpPr>
        <xdr:spPr>
          <a:xfrm rot="16200000" flipV="1">
            <a:off x="726635" y="17484994"/>
            <a:ext cx="846" cy="763229"/>
          </a:xfrm>
          <a:prstGeom prst="curvedConnector3">
            <a:avLst>
              <a:gd name="adj1" fmla="val 34797883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14092</xdr:colOff>
      <xdr:row>37</xdr:row>
      <xdr:rowOff>47625</xdr:rowOff>
    </xdr:from>
    <xdr:to>
      <xdr:col>1</xdr:col>
      <xdr:colOff>995474</xdr:colOff>
      <xdr:row>37</xdr:row>
      <xdr:rowOff>604473</xdr:rowOff>
    </xdr:to>
    <xdr:grpSp>
      <xdr:nvGrpSpPr>
        <xdr:cNvPr id="879" name="Gruppieren 878"/>
        <xdr:cNvGrpSpPr/>
      </xdr:nvGrpSpPr>
      <xdr:grpSpPr>
        <a:xfrm>
          <a:off x="232964" y="18927391"/>
          <a:ext cx="981382" cy="556848"/>
          <a:chOff x="236342" y="15303663"/>
          <a:chExt cx="981382" cy="556848"/>
        </a:xfrm>
      </xdr:grpSpPr>
      <xdr:cxnSp macro="">
        <xdr:nvCxnSpPr>
          <xdr:cNvPr id="880" name="Gewinkelte Verbindung 35"/>
          <xdr:cNvCxnSpPr>
            <a:stCxn id="884" idx="7"/>
            <a:endCxn id="894" idx="2"/>
          </xdr:cNvCxnSpPr>
        </xdr:nvCxnSpPr>
        <xdr:spPr>
          <a:xfrm rot="5400000" flipH="1" flipV="1">
            <a:off x="415885" y="15493967"/>
            <a:ext cx="61681" cy="11348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1" name="Gewinkelte Verbindung 35"/>
          <xdr:cNvCxnSpPr>
            <a:stCxn id="884" idx="5"/>
            <a:endCxn id="895" idx="2"/>
          </xdr:cNvCxnSpPr>
        </xdr:nvCxnSpPr>
        <xdr:spPr>
          <a:xfrm rot="16200000" flipH="1">
            <a:off x="415885" y="15682926"/>
            <a:ext cx="61681" cy="11348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2" name="Gewinkelte Verbindung 35"/>
          <xdr:cNvCxnSpPr>
            <a:stCxn id="894" idx="7"/>
            <a:endCxn id="892" idx="2"/>
          </xdr:cNvCxnSpPr>
        </xdr:nvCxnSpPr>
        <xdr:spPr>
          <a:xfrm rot="5400000" flipH="1" flipV="1">
            <a:off x="682569" y="15368203"/>
            <a:ext cx="62566" cy="11348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3" name="Gewinkelte Verbindung 35"/>
          <xdr:cNvCxnSpPr>
            <a:stCxn id="894" idx="5"/>
            <a:endCxn id="893" idx="2"/>
          </xdr:cNvCxnSpPr>
        </xdr:nvCxnSpPr>
        <xdr:spPr>
          <a:xfrm rot="16200000" flipH="1">
            <a:off x="683454" y="15557163"/>
            <a:ext cx="60796" cy="11348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84" name="Ellipse 883"/>
          <xdr:cNvSpPr/>
        </xdr:nvSpPr>
        <xdr:spPr>
          <a:xfrm>
            <a:off x="236342" y="15555190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grpSp>
        <xdr:nvGrpSpPr>
          <xdr:cNvPr id="885" name="Gruppieren 245"/>
          <xdr:cNvGrpSpPr/>
        </xdr:nvGrpSpPr>
        <xdr:grpSpPr>
          <a:xfrm>
            <a:off x="503469" y="15429869"/>
            <a:ext cx="180000" cy="430642"/>
            <a:chOff x="729614" y="7646066"/>
            <a:chExt cx="180000" cy="430642"/>
          </a:xfrm>
        </xdr:grpSpPr>
        <xdr:sp macro="" textlink="">
          <xdr:nvSpPr>
            <xdr:cNvPr id="894" name="Ellipse 893"/>
            <xdr:cNvSpPr/>
          </xdr:nvSpPr>
          <xdr:spPr>
            <a:xfrm>
              <a:off x="729614" y="764606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sp macro="" textlink="">
          <xdr:nvSpPr>
            <xdr:cNvPr id="895" name="Ellipse 894"/>
            <xdr:cNvSpPr/>
          </xdr:nvSpPr>
          <xdr:spPr>
            <a:xfrm>
              <a:off x="729614" y="789670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</xdr:grpSp>
      <xdr:grpSp>
        <xdr:nvGrpSpPr>
          <xdr:cNvPr id="886" name="Gruppieren 245"/>
          <xdr:cNvGrpSpPr/>
        </xdr:nvGrpSpPr>
        <xdr:grpSpPr>
          <a:xfrm>
            <a:off x="770596" y="15303663"/>
            <a:ext cx="180000" cy="430642"/>
            <a:chOff x="714249" y="7646066"/>
            <a:chExt cx="180000" cy="430642"/>
          </a:xfrm>
        </xdr:grpSpPr>
        <xdr:sp macro="" textlink="">
          <xdr:nvSpPr>
            <xdr:cNvPr id="892" name="Ellipse 891"/>
            <xdr:cNvSpPr/>
          </xdr:nvSpPr>
          <xdr:spPr>
            <a:xfrm>
              <a:off x="714249" y="764606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  <xdr:sp macro="" textlink="">
          <xdr:nvSpPr>
            <xdr:cNvPr id="893" name="Ellipse 892"/>
            <xdr:cNvSpPr/>
          </xdr:nvSpPr>
          <xdr:spPr>
            <a:xfrm>
              <a:off x="714249" y="789670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E</a:t>
              </a:r>
            </a:p>
          </xdr:txBody>
        </xdr:sp>
      </xdr:grpSp>
      <xdr:sp macro="" textlink="">
        <xdr:nvSpPr>
          <xdr:cNvPr id="890" name="Ellipse 889"/>
          <xdr:cNvSpPr/>
        </xdr:nvSpPr>
        <xdr:spPr>
          <a:xfrm>
            <a:off x="1037724" y="15555795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F</a:t>
            </a:r>
          </a:p>
        </xdr:txBody>
      </xdr:sp>
      <xdr:cxnSp macro="">
        <xdr:nvCxnSpPr>
          <xdr:cNvPr id="888" name="Gewinkelte Verbindung 35"/>
          <xdr:cNvCxnSpPr>
            <a:stCxn id="893" idx="6"/>
            <a:endCxn id="890" idx="2"/>
          </xdr:cNvCxnSpPr>
        </xdr:nvCxnSpPr>
        <xdr:spPr>
          <a:xfrm>
            <a:off x="950596" y="15644305"/>
            <a:ext cx="87128" cy="1490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9" name="Gewinkelte Verbindung 35"/>
          <xdr:cNvCxnSpPr>
            <a:stCxn id="890" idx="4"/>
            <a:endCxn id="884" idx="4"/>
          </xdr:cNvCxnSpPr>
        </xdr:nvCxnSpPr>
        <xdr:spPr>
          <a:xfrm rot="5400000" flipH="1">
            <a:off x="726730" y="15334802"/>
            <a:ext cx="605" cy="801382"/>
          </a:xfrm>
          <a:prstGeom prst="curvedConnector3">
            <a:avLst>
              <a:gd name="adj1" fmla="val -37785124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5323</xdr:colOff>
      <xdr:row>38</xdr:row>
      <xdr:rowOff>64433</xdr:rowOff>
    </xdr:from>
    <xdr:to>
      <xdr:col>1</xdr:col>
      <xdr:colOff>986705</xdr:colOff>
      <xdr:row>38</xdr:row>
      <xdr:rowOff>621281</xdr:rowOff>
    </xdr:to>
    <xdr:grpSp>
      <xdr:nvGrpSpPr>
        <xdr:cNvPr id="948" name="Gruppieren 947"/>
        <xdr:cNvGrpSpPr/>
      </xdr:nvGrpSpPr>
      <xdr:grpSpPr>
        <a:xfrm>
          <a:off x="224195" y="19706199"/>
          <a:ext cx="981382" cy="556848"/>
          <a:chOff x="238125" y="19122837"/>
          <a:chExt cx="981382" cy="556848"/>
        </a:xfrm>
      </xdr:grpSpPr>
      <xdr:grpSp>
        <xdr:nvGrpSpPr>
          <xdr:cNvPr id="920" name="Gruppieren 919"/>
          <xdr:cNvGrpSpPr/>
        </xdr:nvGrpSpPr>
        <xdr:grpSpPr>
          <a:xfrm>
            <a:off x="238125" y="19122837"/>
            <a:ext cx="981382" cy="556848"/>
            <a:chOff x="236342" y="15303663"/>
            <a:chExt cx="981382" cy="556848"/>
          </a:xfrm>
        </xdr:grpSpPr>
        <xdr:cxnSp macro="">
          <xdr:nvCxnSpPr>
            <xdr:cNvPr id="921" name="Gewinkelte Verbindung 35"/>
            <xdr:cNvCxnSpPr>
              <a:stCxn id="925" idx="7"/>
              <a:endCxn id="933" idx="2"/>
            </xdr:cNvCxnSpPr>
          </xdr:nvCxnSpPr>
          <xdr:spPr>
            <a:xfrm rot="5400000" flipH="1" flipV="1">
              <a:off x="415885" y="15493967"/>
              <a:ext cx="61681" cy="113487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22" name="Gewinkelte Verbindung 35"/>
            <xdr:cNvCxnSpPr>
              <a:stCxn id="925" idx="5"/>
              <a:endCxn id="934" idx="2"/>
            </xdr:cNvCxnSpPr>
          </xdr:nvCxnSpPr>
          <xdr:spPr>
            <a:xfrm rot="16200000" flipH="1">
              <a:off x="415885" y="15682926"/>
              <a:ext cx="61681" cy="113487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23" name="Gewinkelte Verbindung 35"/>
            <xdr:cNvCxnSpPr>
              <a:stCxn id="933" idx="7"/>
              <a:endCxn id="931" idx="2"/>
            </xdr:cNvCxnSpPr>
          </xdr:nvCxnSpPr>
          <xdr:spPr>
            <a:xfrm rot="5400000" flipH="1" flipV="1">
              <a:off x="682569" y="15368203"/>
              <a:ext cx="62566" cy="113487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24" name="Gewinkelte Verbindung 35"/>
            <xdr:cNvCxnSpPr>
              <a:stCxn id="933" idx="5"/>
              <a:endCxn id="932" idx="2"/>
            </xdr:cNvCxnSpPr>
          </xdr:nvCxnSpPr>
          <xdr:spPr>
            <a:xfrm rot="16200000" flipH="1">
              <a:off x="683454" y="15557163"/>
              <a:ext cx="60796" cy="113487"/>
            </a:xfrm>
            <a:prstGeom prst="curvedConnector2">
              <a:avLst/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25" name="Ellipse 924"/>
            <xdr:cNvSpPr/>
          </xdr:nvSpPr>
          <xdr:spPr>
            <a:xfrm>
              <a:off x="236342" y="15555190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grpSp>
          <xdr:nvGrpSpPr>
            <xdr:cNvPr id="926" name="Gruppieren 245"/>
            <xdr:cNvGrpSpPr/>
          </xdr:nvGrpSpPr>
          <xdr:grpSpPr>
            <a:xfrm>
              <a:off x="503469" y="15429869"/>
              <a:ext cx="180000" cy="430642"/>
              <a:chOff x="729614" y="7646066"/>
              <a:chExt cx="180000" cy="430642"/>
            </a:xfrm>
          </xdr:grpSpPr>
          <xdr:sp macro="" textlink="">
            <xdr:nvSpPr>
              <xdr:cNvPr id="933" name="Ellipse 932"/>
              <xdr:cNvSpPr/>
            </xdr:nvSpPr>
            <xdr:spPr>
              <a:xfrm>
                <a:off x="729614" y="7646066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B</a:t>
                </a:r>
              </a:p>
            </xdr:txBody>
          </xdr:sp>
          <xdr:sp macro="" textlink="">
            <xdr:nvSpPr>
              <xdr:cNvPr id="934" name="Ellipse 933"/>
              <xdr:cNvSpPr/>
            </xdr:nvSpPr>
            <xdr:spPr>
              <a:xfrm>
                <a:off x="729614" y="7896708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C</a:t>
                </a:r>
              </a:p>
            </xdr:txBody>
          </xdr:sp>
        </xdr:grpSp>
        <xdr:grpSp>
          <xdr:nvGrpSpPr>
            <xdr:cNvPr id="927" name="Gruppieren 245"/>
            <xdr:cNvGrpSpPr/>
          </xdr:nvGrpSpPr>
          <xdr:grpSpPr>
            <a:xfrm>
              <a:off x="770596" y="15303663"/>
              <a:ext cx="180000" cy="430642"/>
              <a:chOff x="714249" y="7646066"/>
              <a:chExt cx="180000" cy="430642"/>
            </a:xfrm>
          </xdr:grpSpPr>
          <xdr:sp macro="" textlink="">
            <xdr:nvSpPr>
              <xdr:cNvPr id="931" name="Ellipse 930"/>
              <xdr:cNvSpPr/>
            </xdr:nvSpPr>
            <xdr:spPr>
              <a:xfrm>
                <a:off x="714249" y="7646066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D</a:t>
                </a:r>
              </a:p>
            </xdr:txBody>
          </xdr:sp>
          <xdr:sp macro="" textlink="">
            <xdr:nvSpPr>
              <xdr:cNvPr id="932" name="Ellipse 931"/>
              <xdr:cNvSpPr/>
            </xdr:nvSpPr>
            <xdr:spPr>
              <a:xfrm>
                <a:off x="714249" y="7896708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E</a:t>
                </a:r>
              </a:p>
            </xdr:txBody>
          </xdr:sp>
        </xdr:grpSp>
        <xdr:sp macro="" textlink="">
          <xdr:nvSpPr>
            <xdr:cNvPr id="928" name="Ellipse 927"/>
            <xdr:cNvSpPr/>
          </xdr:nvSpPr>
          <xdr:spPr>
            <a:xfrm>
              <a:off x="1037724" y="15555795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F</a:t>
              </a:r>
            </a:p>
          </xdr:txBody>
        </xdr:sp>
        <xdr:cxnSp macro="">
          <xdr:nvCxnSpPr>
            <xdr:cNvPr id="929" name="Gewinkelte Verbindung 35"/>
            <xdr:cNvCxnSpPr>
              <a:stCxn id="932" idx="5"/>
              <a:endCxn id="928" idx="3"/>
            </xdr:cNvCxnSpPr>
          </xdr:nvCxnSpPr>
          <xdr:spPr>
            <a:xfrm rot="16200000" flipH="1">
              <a:off x="993415" y="15638766"/>
              <a:ext cx="1490" cy="139848"/>
            </a:xfrm>
            <a:prstGeom prst="curvedConnector3">
              <a:avLst>
                <a:gd name="adj1" fmla="val 2357987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0" name="Gewinkelte Verbindung 35"/>
            <xdr:cNvCxnSpPr>
              <a:stCxn id="932" idx="6"/>
              <a:endCxn id="931" idx="6"/>
            </xdr:cNvCxnSpPr>
          </xdr:nvCxnSpPr>
          <xdr:spPr>
            <a:xfrm flipV="1">
              <a:off x="950596" y="15393663"/>
              <a:ext cx="1588" cy="250642"/>
            </a:xfrm>
            <a:prstGeom prst="curvedConnector3">
              <a:avLst>
                <a:gd name="adj1" fmla="val 2575694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45" name="Gewinkelte Verbindung 35"/>
          <xdr:cNvCxnSpPr>
            <a:stCxn id="931" idx="3"/>
            <a:endCxn id="932" idx="1"/>
          </xdr:cNvCxnSpPr>
        </xdr:nvCxnSpPr>
        <xdr:spPr>
          <a:xfrm rot="5400000">
            <a:off x="737058" y="19338158"/>
            <a:ext cx="123362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393414</xdr:colOff>
      <xdr:row>39</xdr:row>
      <xdr:rowOff>68292</xdr:rowOff>
    </xdr:from>
    <xdr:to>
      <xdr:col>1</xdr:col>
      <xdr:colOff>598615</xdr:colOff>
      <xdr:row>39</xdr:row>
      <xdr:rowOff>498934</xdr:rowOff>
    </xdr:to>
    <xdr:grpSp>
      <xdr:nvGrpSpPr>
        <xdr:cNvPr id="960" name="Gruppieren 959"/>
        <xdr:cNvGrpSpPr/>
      </xdr:nvGrpSpPr>
      <xdr:grpSpPr>
        <a:xfrm>
          <a:off x="612286" y="20472058"/>
          <a:ext cx="205201" cy="430642"/>
          <a:chOff x="287547" y="19891075"/>
          <a:chExt cx="205201" cy="430642"/>
        </a:xfrm>
      </xdr:grpSpPr>
      <xdr:sp macro="" textlink="">
        <xdr:nvSpPr>
          <xdr:cNvPr id="958" name="Ellipse 957"/>
          <xdr:cNvSpPr/>
        </xdr:nvSpPr>
        <xdr:spPr>
          <a:xfrm>
            <a:off x="287548" y="19891075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A1</a:t>
            </a:r>
          </a:p>
        </xdr:txBody>
      </xdr:sp>
      <xdr:sp macro="" textlink="">
        <xdr:nvSpPr>
          <xdr:cNvPr id="959" name="Ellipse 958"/>
          <xdr:cNvSpPr/>
        </xdr:nvSpPr>
        <xdr:spPr>
          <a:xfrm>
            <a:off x="287547" y="20141717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A2</a:t>
            </a:r>
          </a:p>
        </xdr:txBody>
      </xdr:sp>
    </xdr:grpSp>
    <xdr:clientData/>
  </xdr:twoCellAnchor>
  <xdr:twoCellAnchor>
    <xdr:from>
      <xdr:col>1</xdr:col>
      <xdr:colOff>393414</xdr:colOff>
      <xdr:row>40</xdr:row>
      <xdr:rowOff>76918</xdr:rowOff>
    </xdr:from>
    <xdr:to>
      <xdr:col>1</xdr:col>
      <xdr:colOff>598615</xdr:colOff>
      <xdr:row>40</xdr:row>
      <xdr:rowOff>507560</xdr:rowOff>
    </xdr:to>
    <xdr:grpSp>
      <xdr:nvGrpSpPr>
        <xdr:cNvPr id="982" name="Gruppieren 981"/>
        <xdr:cNvGrpSpPr/>
      </xdr:nvGrpSpPr>
      <xdr:grpSpPr>
        <a:xfrm>
          <a:off x="612286" y="21052184"/>
          <a:ext cx="205201" cy="430642"/>
          <a:chOff x="612476" y="20471201"/>
          <a:chExt cx="205201" cy="430642"/>
        </a:xfrm>
      </xdr:grpSpPr>
      <xdr:grpSp>
        <xdr:nvGrpSpPr>
          <xdr:cNvPr id="961" name="Gruppieren 960"/>
          <xdr:cNvGrpSpPr/>
        </xdr:nvGrpSpPr>
        <xdr:grpSpPr>
          <a:xfrm>
            <a:off x="612476" y="20471201"/>
            <a:ext cx="205201" cy="430642"/>
            <a:chOff x="287547" y="19891075"/>
            <a:chExt cx="205201" cy="430642"/>
          </a:xfrm>
        </xdr:grpSpPr>
        <xdr:sp macro="" textlink="">
          <xdr:nvSpPr>
            <xdr:cNvPr id="962" name="Ellipse 961"/>
            <xdr:cNvSpPr/>
          </xdr:nvSpPr>
          <xdr:spPr>
            <a:xfrm>
              <a:off x="287548" y="19891075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A1</a:t>
              </a:r>
            </a:p>
          </xdr:txBody>
        </xdr:sp>
        <xdr:sp macro="" textlink="">
          <xdr:nvSpPr>
            <xdr:cNvPr id="963" name="Ellipse 962"/>
            <xdr:cNvSpPr/>
          </xdr:nvSpPr>
          <xdr:spPr>
            <a:xfrm>
              <a:off x="287547" y="20141717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A2</a:t>
              </a:r>
            </a:p>
          </xdr:txBody>
        </xdr:sp>
      </xdr:grpSp>
      <xdr:cxnSp macro="">
        <xdr:nvCxnSpPr>
          <xdr:cNvPr id="971" name="Gewinkelte Verbindung 35"/>
          <xdr:cNvCxnSpPr>
            <a:stCxn id="962" idx="6"/>
            <a:endCxn id="963" idx="6"/>
          </xdr:cNvCxnSpPr>
        </xdr:nvCxnSpPr>
        <xdr:spPr>
          <a:xfrm flipH="1">
            <a:off x="817676" y="20561201"/>
            <a:ext cx="1" cy="250642"/>
          </a:xfrm>
          <a:prstGeom prst="curvedConnector3">
            <a:avLst>
              <a:gd name="adj1" fmla="val -2147483647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393413</xdr:colOff>
      <xdr:row>41</xdr:row>
      <xdr:rowOff>78356</xdr:rowOff>
    </xdr:from>
    <xdr:to>
      <xdr:col>1</xdr:col>
      <xdr:colOff>598615</xdr:colOff>
      <xdr:row>41</xdr:row>
      <xdr:rowOff>508998</xdr:rowOff>
    </xdr:to>
    <xdr:grpSp>
      <xdr:nvGrpSpPr>
        <xdr:cNvPr id="992" name="Gruppieren 991"/>
        <xdr:cNvGrpSpPr/>
      </xdr:nvGrpSpPr>
      <xdr:grpSpPr>
        <a:xfrm>
          <a:off x="612285" y="21625122"/>
          <a:ext cx="205202" cy="430642"/>
          <a:chOff x="610319" y="21044139"/>
          <a:chExt cx="205202" cy="430642"/>
        </a:xfrm>
      </xdr:grpSpPr>
      <xdr:grpSp>
        <xdr:nvGrpSpPr>
          <xdr:cNvPr id="983" name="Gruppieren 982"/>
          <xdr:cNvGrpSpPr/>
        </xdr:nvGrpSpPr>
        <xdr:grpSpPr>
          <a:xfrm>
            <a:off x="610320" y="21044139"/>
            <a:ext cx="205201" cy="430642"/>
            <a:chOff x="612476" y="20471201"/>
            <a:chExt cx="205201" cy="430642"/>
          </a:xfrm>
        </xdr:grpSpPr>
        <xdr:grpSp>
          <xdr:nvGrpSpPr>
            <xdr:cNvPr id="984" name="Gruppieren 960"/>
            <xdr:cNvGrpSpPr/>
          </xdr:nvGrpSpPr>
          <xdr:grpSpPr>
            <a:xfrm>
              <a:off x="612476" y="20471201"/>
              <a:ext cx="205201" cy="430642"/>
              <a:chOff x="287547" y="19891075"/>
              <a:chExt cx="205201" cy="430642"/>
            </a:xfrm>
          </xdr:grpSpPr>
          <xdr:sp macro="" textlink="">
            <xdr:nvSpPr>
              <xdr:cNvPr id="986" name="Ellipse 985"/>
              <xdr:cNvSpPr/>
            </xdr:nvSpPr>
            <xdr:spPr>
              <a:xfrm>
                <a:off x="287548" y="19891075"/>
                <a:ext cx="2052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A1</a:t>
                </a:r>
              </a:p>
            </xdr:txBody>
          </xdr:sp>
          <xdr:sp macro="" textlink="">
            <xdr:nvSpPr>
              <xdr:cNvPr id="987" name="Ellipse 986"/>
              <xdr:cNvSpPr/>
            </xdr:nvSpPr>
            <xdr:spPr>
              <a:xfrm>
                <a:off x="287547" y="20141717"/>
                <a:ext cx="2052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A2</a:t>
                </a:r>
              </a:p>
            </xdr:txBody>
          </xdr:sp>
        </xdr:grpSp>
        <xdr:cxnSp macro="">
          <xdr:nvCxnSpPr>
            <xdr:cNvPr id="985" name="Gewinkelte Verbindung 35"/>
            <xdr:cNvCxnSpPr>
              <a:stCxn id="986" idx="6"/>
              <a:endCxn id="987" idx="6"/>
            </xdr:cNvCxnSpPr>
          </xdr:nvCxnSpPr>
          <xdr:spPr>
            <a:xfrm flipH="1">
              <a:off x="817676" y="20561201"/>
              <a:ext cx="1" cy="250642"/>
            </a:xfrm>
            <a:prstGeom prst="curvedConnector3">
              <a:avLst>
                <a:gd name="adj1" fmla="val -2147483647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88" name="Gewinkelte Verbindung 35"/>
          <xdr:cNvCxnSpPr>
            <a:stCxn id="987" idx="2"/>
            <a:endCxn id="986" idx="2"/>
          </xdr:cNvCxnSpPr>
        </xdr:nvCxnSpPr>
        <xdr:spPr>
          <a:xfrm rot="10800000" flipH="1">
            <a:off x="610319" y="21134139"/>
            <a:ext cx="1" cy="250642"/>
          </a:xfrm>
          <a:prstGeom prst="curvedConnector3">
            <a:avLst>
              <a:gd name="adj1" fmla="val -2147483647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205864</xdr:colOff>
      <xdr:row>42</xdr:row>
      <xdr:rowOff>82670</xdr:rowOff>
    </xdr:from>
    <xdr:to>
      <xdr:col>1</xdr:col>
      <xdr:colOff>786164</xdr:colOff>
      <xdr:row>42</xdr:row>
      <xdr:rowOff>513776</xdr:rowOff>
    </xdr:to>
    <xdr:grpSp>
      <xdr:nvGrpSpPr>
        <xdr:cNvPr id="1012" name="Gruppieren 1011"/>
        <xdr:cNvGrpSpPr/>
      </xdr:nvGrpSpPr>
      <xdr:grpSpPr>
        <a:xfrm>
          <a:off x="424736" y="22200936"/>
          <a:ext cx="580300" cy="431106"/>
          <a:chOff x="367176" y="21617962"/>
          <a:chExt cx="580300" cy="431106"/>
        </a:xfrm>
      </xdr:grpSpPr>
      <xdr:grpSp>
        <xdr:nvGrpSpPr>
          <xdr:cNvPr id="1008" name="Gruppieren 1007"/>
          <xdr:cNvGrpSpPr/>
        </xdr:nvGrpSpPr>
        <xdr:grpSpPr>
          <a:xfrm>
            <a:off x="367176" y="21617962"/>
            <a:ext cx="205201" cy="430642"/>
            <a:chOff x="367176" y="21617962"/>
            <a:chExt cx="205201" cy="430642"/>
          </a:xfrm>
        </xdr:grpSpPr>
        <xdr:sp macro="" textlink="">
          <xdr:nvSpPr>
            <xdr:cNvPr id="1001" name="Ellipse 1000"/>
            <xdr:cNvSpPr/>
          </xdr:nvSpPr>
          <xdr:spPr>
            <a:xfrm>
              <a:off x="367177" y="21617962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A1</a:t>
              </a:r>
            </a:p>
          </xdr:txBody>
        </xdr:sp>
        <xdr:sp macro="" textlink="">
          <xdr:nvSpPr>
            <xdr:cNvPr id="1002" name="Ellipse 1001"/>
            <xdr:cNvSpPr/>
          </xdr:nvSpPr>
          <xdr:spPr>
            <a:xfrm>
              <a:off x="367176" y="21868604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A2</a:t>
              </a:r>
            </a:p>
          </xdr:txBody>
        </xdr:sp>
      </xdr:grpSp>
      <xdr:cxnSp macro="">
        <xdr:nvCxnSpPr>
          <xdr:cNvPr id="1000" name="Gewinkelte Verbindung 35"/>
          <xdr:cNvCxnSpPr>
            <a:stCxn id="1001" idx="2"/>
            <a:endCxn id="1002" idx="2"/>
          </xdr:cNvCxnSpPr>
        </xdr:nvCxnSpPr>
        <xdr:spPr>
          <a:xfrm rot="10800000" flipV="1">
            <a:off x="367177" y="21707962"/>
            <a:ext cx="1" cy="250642"/>
          </a:xfrm>
          <a:prstGeom prst="curvedConnector3">
            <a:avLst>
              <a:gd name="adj1" fmla="val 2147483647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07" name="Ellipse 1006"/>
          <xdr:cNvSpPr/>
        </xdr:nvSpPr>
        <xdr:spPr>
          <a:xfrm>
            <a:off x="767476" y="2186906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1009" name="Gewinkelte Verbindung 35"/>
          <xdr:cNvCxnSpPr>
            <a:stCxn id="1002" idx="6"/>
            <a:endCxn id="1007" idx="2"/>
          </xdr:cNvCxnSpPr>
        </xdr:nvCxnSpPr>
        <xdr:spPr>
          <a:xfrm>
            <a:off x="572376" y="21958604"/>
            <a:ext cx="195100" cy="46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205541</xdr:colOff>
      <xdr:row>44</xdr:row>
      <xdr:rowOff>80611</xdr:rowOff>
    </xdr:from>
    <xdr:to>
      <xdr:col>1</xdr:col>
      <xdr:colOff>786488</xdr:colOff>
      <xdr:row>44</xdr:row>
      <xdr:rowOff>511717</xdr:rowOff>
    </xdr:to>
    <xdr:grpSp>
      <xdr:nvGrpSpPr>
        <xdr:cNvPr id="1026" name="Gruppieren 1025"/>
        <xdr:cNvGrpSpPr/>
      </xdr:nvGrpSpPr>
      <xdr:grpSpPr>
        <a:xfrm>
          <a:off x="424413" y="23341877"/>
          <a:ext cx="580947" cy="431106"/>
          <a:chOff x="379573" y="22188908"/>
          <a:chExt cx="580947" cy="431106"/>
        </a:xfrm>
      </xdr:grpSpPr>
      <xdr:grpSp>
        <xdr:nvGrpSpPr>
          <xdr:cNvPr id="1016" name="Gruppieren 1007"/>
          <xdr:cNvGrpSpPr/>
        </xdr:nvGrpSpPr>
        <xdr:grpSpPr>
          <a:xfrm>
            <a:off x="379573" y="22188908"/>
            <a:ext cx="205201" cy="430642"/>
            <a:chOff x="367176" y="21617962"/>
            <a:chExt cx="205201" cy="430642"/>
          </a:xfrm>
        </xdr:grpSpPr>
        <xdr:sp macro="" textlink="">
          <xdr:nvSpPr>
            <xdr:cNvPr id="1020" name="Ellipse 1019"/>
            <xdr:cNvSpPr/>
          </xdr:nvSpPr>
          <xdr:spPr>
            <a:xfrm>
              <a:off x="367177" y="21617962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A1</a:t>
              </a:r>
            </a:p>
          </xdr:txBody>
        </xdr:sp>
        <xdr:sp macro="" textlink="">
          <xdr:nvSpPr>
            <xdr:cNvPr id="1021" name="Ellipse 1020"/>
            <xdr:cNvSpPr/>
          </xdr:nvSpPr>
          <xdr:spPr>
            <a:xfrm>
              <a:off x="367176" y="21868604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A2</a:t>
              </a:r>
            </a:p>
          </xdr:txBody>
        </xdr:sp>
      </xdr:grpSp>
      <xdr:cxnSp macro="">
        <xdr:nvCxnSpPr>
          <xdr:cNvPr id="1017" name="Gewinkelte Verbindung 35"/>
          <xdr:cNvCxnSpPr>
            <a:stCxn id="1020" idx="6"/>
            <a:endCxn id="1022" idx="2"/>
          </xdr:cNvCxnSpPr>
        </xdr:nvCxnSpPr>
        <xdr:spPr>
          <a:xfrm>
            <a:off x="584774" y="22278908"/>
            <a:ext cx="195746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9" name="Gewinkelte Verbindung 35"/>
          <xdr:cNvCxnSpPr>
            <a:stCxn id="1021" idx="6"/>
            <a:endCxn id="1018" idx="2"/>
          </xdr:cNvCxnSpPr>
        </xdr:nvCxnSpPr>
        <xdr:spPr>
          <a:xfrm>
            <a:off x="584773" y="22529550"/>
            <a:ext cx="195747" cy="46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025" name="Gruppieren 1024"/>
          <xdr:cNvGrpSpPr/>
        </xdr:nvGrpSpPr>
        <xdr:grpSpPr>
          <a:xfrm>
            <a:off x="780520" y="22188908"/>
            <a:ext cx="180000" cy="431106"/>
            <a:chOff x="780520" y="22188908"/>
            <a:chExt cx="180000" cy="431106"/>
          </a:xfrm>
        </xdr:grpSpPr>
        <xdr:sp macro="" textlink="">
          <xdr:nvSpPr>
            <xdr:cNvPr id="1018" name="Ellipse 1017"/>
            <xdr:cNvSpPr/>
          </xdr:nvSpPr>
          <xdr:spPr>
            <a:xfrm>
              <a:off x="780520" y="22440014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sp macro="" textlink="">
          <xdr:nvSpPr>
            <xdr:cNvPr id="1022" name="Ellipse 1021"/>
            <xdr:cNvSpPr/>
          </xdr:nvSpPr>
          <xdr:spPr>
            <a:xfrm>
              <a:off x="780520" y="2218890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</xdr:grpSp>
    </xdr:grpSp>
    <xdr:clientData/>
  </xdr:twoCellAnchor>
  <xdr:twoCellAnchor>
    <xdr:from>
      <xdr:col>1</xdr:col>
      <xdr:colOff>204747</xdr:colOff>
      <xdr:row>45</xdr:row>
      <xdr:rowOff>88848</xdr:rowOff>
    </xdr:from>
    <xdr:to>
      <xdr:col>1</xdr:col>
      <xdr:colOff>787282</xdr:colOff>
      <xdr:row>45</xdr:row>
      <xdr:rowOff>519954</xdr:rowOff>
    </xdr:to>
    <xdr:grpSp>
      <xdr:nvGrpSpPr>
        <xdr:cNvPr id="1040" name="Gruppieren 1039"/>
        <xdr:cNvGrpSpPr/>
      </xdr:nvGrpSpPr>
      <xdr:grpSpPr>
        <a:xfrm>
          <a:off x="423619" y="23921614"/>
          <a:ext cx="582535" cy="431106"/>
          <a:chOff x="382663" y="22768645"/>
          <a:chExt cx="582535" cy="431106"/>
        </a:xfrm>
      </xdr:grpSpPr>
      <xdr:grpSp>
        <xdr:nvGrpSpPr>
          <xdr:cNvPr id="1027" name="Gruppieren 1026"/>
          <xdr:cNvGrpSpPr/>
        </xdr:nvGrpSpPr>
        <xdr:grpSpPr>
          <a:xfrm>
            <a:off x="382663" y="22768645"/>
            <a:ext cx="580947" cy="431106"/>
            <a:chOff x="379573" y="22188908"/>
            <a:chExt cx="580947" cy="431106"/>
          </a:xfrm>
        </xdr:grpSpPr>
        <xdr:grpSp>
          <xdr:nvGrpSpPr>
            <xdr:cNvPr id="1028" name="Gruppieren 1007"/>
            <xdr:cNvGrpSpPr/>
          </xdr:nvGrpSpPr>
          <xdr:grpSpPr>
            <a:xfrm>
              <a:off x="379573" y="22188908"/>
              <a:ext cx="205201" cy="430642"/>
              <a:chOff x="367176" y="21617962"/>
              <a:chExt cx="205201" cy="430642"/>
            </a:xfrm>
          </xdr:grpSpPr>
          <xdr:sp macro="" textlink="">
            <xdr:nvSpPr>
              <xdr:cNvPr id="1034" name="Ellipse 1033"/>
              <xdr:cNvSpPr/>
            </xdr:nvSpPr>
            <xdr:spPr>
              <a:xfrm>
                <a:off x="367177" y="21617962"/>
                <a:ext cx="2052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A1</a:t>
                </a:r>
              </a:p>
            </xdr:txBody>
          </xdr:sp>
          <xdr:sp macro="" textlink="">
            <xdr:nvSpPr>
              <xdr:cNvPr id="1035" name="Ellipse 1034"/>
              <xdr:cNvSpPr/>
            </xdr:nvSpPr>
            <xdr:spPr>
              <a:xfrm>
                <a:off x="367176" y="21868604"/>
                <a:ext cx="2052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A2</a:t>
                </a:r>
              </a:p>
            </xdr:txBody>
          </xdr:sp>
        </xdr:grpSp>
        <xdr:cxnSp macro="">
          <xdr:nvCxnSpPr>
            <xdr:cNvPr id="1029" name="Gewinkelte Verbindung 35"/>
            <xdr:cNvCxnSpPr>
              <a:stCxn id="1034" idx="6"/>
              <a:endCxn id="1033" idx="2"/>
            </xdr:cNvCxnSpPr>
          </xdr:nvCxnSpPr>
          <xdr:spPr>
            <a:xfrm>
              <a:off x="584774" y="22278908"/>
              <a:ext cx="195746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30" name="Gewinkelte Verbindung 35"/>
            <xdr:cNvCxnSpPr>
              <a:stCxn id="1035" idx="6"/>
              <a:endCxn id="1032" idx="2"/>
            </xdr:cNvCxnSpPr>
          </xdr:nvCxnSpPr>
          <xdr:spPr>
            <a:xfrm>
              <a:off x="584773" y="22529550"/>
              <a:ext cx="195747" cy="464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031" name="Gruppieren 1024"/>
            <xdr:cNvGrpSpPr/>
          </xdr:nvGrpSpPr>
          <xdr:grpSpPr>
            <a:xfrm>
              <a:off x="780520" y="22188908"/>
              <a:ext cx="180000" cy="431106"/>
              <a:chOff x="780520" y="22188908"/>
              <a:chExt cx="180000" cy="431106"/>
            </a:xfrm>
          </xdr:grpSpPr>
          <xdr:sp macro="" textlink="">
            <xdr:nvSpPr>
              <xdr:cNvPr id="1032" name="Ellipse 1031"/>
              <xdr:cNvSpPr/>
            </xdr:nvSpPr>
            <xdr:spPr>
              <a:xfrm>
                <a:off x="780520" y="22440014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C</a:t>
                </a:r>
              </a:p>
            </xdr:txBody>
          </xdr:sp>
          <xdr:sp macro="" textlink="">
            <xdr:nvSpPr>
              <xdr:cNvPr id="1033" name="Ellipse 1032"/>
              <xdr:cNvSpPr/>
            </xdr:nvSpPr>
            <xdr:spPr>
              <a:xfrm>
                <a:off x="780520" y="22188908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B</a:t>
                </a:r>
              </a:p>
            </xdr:txBody>
          </xdr:sp>
        </xdr:grpSp>
      </xdr:grpSp>
      <xdr:cxnSp macro="">
        <xdr:nvCxnSpPr>
          <xdr:cNvPr id="1036" name="Gewinkelte Verbindung 35"/>
          <xdr:cNvCxnSpPr>
            <a:stCxn id="1033" idx="6"/>
            <a:endCxn id="1032" idx="6"/>
          </xdr:cNvCxnSpPr>
        </xdr:nvCxnSpPr>
        <xdr:spPr>
          <a:xfrm>
            <a:off x="963610" y="22858645"/>
            <a:ext cx="1588" cy="251106"/>
          </a:xfrm>
          <a:prstGeom prst="curvedConnector3">
            <a:avLst>
              <a:gd name="adj1" fmla="val 5317256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204747</xdr:colOff>
      <xdr:row>47</xdr:row>
      <xdr:rowOff>97824</xdr:rowOff>
    </xdr:from>
    <xdr:to>
      <xdr:col>1</xdr:col>
      <xdr:colOff>787282</xdr:colOff>
      <xdr:row>47</xdr:row>
      <xdr:rowOff>528930</xdr:rowOff>
    </xdr:to>
    <xdr:grpSp>
      <xdr:nvGrpSpPr>
        <xdr:cNvPr id="1066" name="Gruppieren 1065"/>
        <xdr:cNvGrpSpPr/>
      </xdr:nvGrpSpPr>
      <xdr:grpSpPr>
        <a:xfrm>
          <a:off x="423619" y="25073590"/>
          <a:ext cx="582535" cy="431106"/>
          <a:chOff x="391297" y="23349121"/>
          <a:chExt cx="582535" cy="431106"/>
        </a:xfrm>
      </xdr:grpSpPr>
      <xdr:grpSp>
        <xdr:nvGrpSpPr>
          <xdr:cNvPr id="1052" name="Gruppieren 1051"/>
          <xdr:cNvGrpSpPr/>
        </xdr:nvGrpSpPr>
        <xdr:grpSpPr>
          <a:xfrm>
            <a:off x="391297" y="23349121"/>
            <a:ext cx="582535" cy="431106"/>
            <a:chOff x="382663" y="22768645"/>
            <a:chExt cx="582535" cy="431106"/>
          </a:xfrm>
        </xdr:grpSpPr>
        <xdr:grpSp>
          <xdr:nvGrpSpPr>
            <xdr:cNvPr id="1053" name="Gruppieren 1026"/>
            <xdr:cNvGrpSpPr/>
          </xdr:nvGrpSpPr>
          <xdr:grpSpPr>
            <a:xfrm>
              <a:off x="382663" y="22768645"/>
              <a:ext cx="580947" cy="431106"/>
              <a:chOff x="379573" y="22188908"/>
              <a:chExt cx="580947" cy="431106"/>
            </a:xfrm>
          </xdr:grpSpPr>
          <xdr:grpSp>
            <xdr:nvGrpSpPr>
              <xdr:cNvPr id="1055" name="Gruppieren 1007"/>
              <xdr:cNvGrpSpPr/>
            </xdr:nvGrpSpPr>
            <xdr:grpSpPr>
              <a:xfrm>
                <a:off x="379573" y="22188908"/>
                <a:ext cx="205201" cy="430642"/>
                <a:chOff x="367176" y="21617962"/>
                <a:chExt cx="205201" cy="430642"/>
              </a:xfrm>
            </xdr:grpSpPr>
            <xdr:sp macro="" textlink="">
              <xdr:nvSpPr>
                <xdr:cNvPr id="1061" name="Ellipse 1060"/>
                <xdr:cNvSpPr/>
              </xdr:nvSpPr>
              <xdr:spPr>
                <a:xfrm>
                  <a:off x="367177" y="21617962"/>
                  <a:ext cx="2052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A1</a:t>
                  </a:r>
                </a:p>
              </xdr:txBody>
            </xdr:sp>
            <xdr:sp macro="" textlink="">
              <xdr:nvSpPr>
                <xdr:cNvPr id="1062" name="Ellipse 1061"/>
                <xdr:cNvSpPr/>
              </xdr:nvSpPr>
              <xdr:spPr>
                <a:xfrm>
                  <a:off x="367176" y="21868604"/>
                  <a:ext cx="2052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A2</a:t>
                  </a:r>
                </a:p>
              </xdr:txBody>
            </xdr:sp>
          </xdr:grpSp>
          <xdr:cxnSp macro="">
            <xdr:nvCxnSpPr>
              <xdr:cNvPr id="1056" name="Gewinkelte Verbindung 35"/>
              <xdr:cNvCxnSpPr>
                <a:stCxn id="1061" idx="6"/>
                <a:endCxn id="1060" idx="2"/>
              </xdr:cNvCxnSpPr>
            </xdr:nvCxnSpPr>
            <xdr:spPr>
              <a:xfrm>
                <a:off x="584774" y="22278908"/>
                <a:ext cx="195746" cy="1588"/>
              </a:xfrm>
              <a:prstGeom prst="curvedConnector3">
                <a:avLst>
                  <a:gd name="adj1" fmla="val 50000"/>
                </a:avLst>
              </a:prstGeom>
              <a:ln>
                <a:tailEnd type="triangle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57" name="Gewinkelte Verbindung 35"/>
              <xdr:cNvCxnSpPr>
                <a:stCxn id="1062" idx="6"/>
                <a:endCxn id="1059" idx="2"/>
              </xdr:cNvCxnSpPr>
            </xdr:nvCxnSpPr>
            <xdr:spPr>
              <a:xfrm>
                <a:off x="584773" y="22529550"/>
                <a:ext cx="195747" cy="464"/>
              </a:xfrm>
              <a:prstGeom prst="curvedConnector3">
                <a:avLst>
                  <a:gd name="adj1" fmla="val 50000"/>
                </a:avLst>
              </a:prstGeom>
              <a:ln>
                <a:tailEnd type="triangle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1058" name="Gruppieren 1024"/>
              <xdr:cNvGrpSpPr/>
            </xdr:nvGrpSpPr>
            <xdr:grpSpPr>
              <a:xfrm>
                <a:off x="780520" y="22188908"/>
                <a:ext cx="180000" cy="431106"/>
                <a:chOff x="780520" y="22188908"/>
                <a:chExt cx="180000" cy="431106"/>
              </a:xfrm>
            </xdr:grpSpPr>
            <xdr:sp macro="" textlink="">
              <xdr:nvSpPr>
                <xdr:cNvPr id="1059" name="Ellipse 1058"/>
                <xdr:cNvSpPr/>
              </xdr:nvSpPr>
              <xdr:spPr>
                <a:xfrm>
                  <a:off x="780520" y="22440014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C</a:t>
                  </a:r>
                </a:p>
              </xdr:txBody>
            </xdr:sp>
            <xdr:sp macro="" textlink="">
              <xdr:nvSpPr>
                <xdr:cNvPr id="1060" name="Ellipse 1059"/>
                <xdr:cNvSpPr/>
              </xdr:nvSpPr>
              <xdr:spPr>
                <a:xfrm>
                  <a:off x="780520" y="22188908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B</a:t>
                  </a:r>
                </a:p>
              </xdr:txBody>
            </xdr:sp>
          </xdr:grpSp>
        </xdr:grpSp>
        <xdr:cxnSp macro="">
          <xdr:nvCxnSpPr>
            <xdr:cNvPr id="1054" name="Gewinkelte Verbindung 35"/>
            <xdr:cNvCxnSpPr>
              <a:stCxn id="1060" idx="6"/>
              <a:endCxn id="1059" idx="6"/>
            </xdr:cNvCxnSpPr>
          </xdr:nvCxnSpPr>
          <xdr:spPr>
            <a:xfrm>
              <a:off x="963610" y="22858645"/>
              <a:ext cx="1588" cy="251106"/>
            </a:xfrm>
            <a:prstGeom prst="curvedConnector3">
              <a:avLst>
                <a:gd name="adj1" fmla="val 5317256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3" name="Gewinkelte Verbindung 35"/>
          <xdr:cNvCxnSpPr>
            <a:stCxn id="1059" idx="1"/>
            <a:endCxn id="1060" idx="3"/>
          </xdr:cNvCxnSpPr>
        </xdr:nvCxnSpPr>
        <xdr:spPr>
          <a:xfrm rot="5400000" flipH="1" flipV="1">
            <a:off x="756691" y="23564674"/>
            <a:ext cx="123826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204747</xdr:colOff>
      <xdr:row>48</xdr:row>
      <xdr:rowOff>88042</xdr:rowOff>
    </xdr:from>
    <xdr:to>
      <xdr:col>1</xdr:col>
      <xdr:colOff>787282</xdr:colOff>
      <xdr:row>48</xdr:row>
      <xdr:rowOff>519148</xdr:rowOff>
    </xdr:to>
    <xdr:grpSp>
      <xdr:nvGrpSpPr>
        <xdr:cNvPr id="1067" name="Gruppieren 1066"/>
        <xdr:cNvGrpSpPr/>
      </xdr:nvGrpSpPr>
      <xdr:grpSpPr>
        <a:xfrm>
          <a:off x="423619" y="25635308"/>
          <a:ext cx="582535" cy="431106"/>
          <a:chOff x="391297" y="23349121"/>
          <a:chExt cx="582535" cy="431106"/>
        </a:xfrm>
      </xdr:grpSpPr>
      <xdr:grpSp>
        <xdr:nvGrpSpPr>
          <xdr:cNvPr id="1068" name="Gruppieren 1051"/>
          <xdr:cNvGrpSpPr/>
        </xdr:nvGrpSpPr>
        <xdr:grpSpPr>
          <a:xfrm>
            <a:off x="391297" y="23349121"/>
            <a:ext cx="582535" cy="431106"/>
            <a:chOff x="382663" y="22768645"/>
            <a:chExt cx="582535" cy="431106"/>
          </a:xfrm>
        </xdr:grpSpPr>
        <xdr:grpSp>
          <xdr:nvGrpSpPr>
            <xdr:cNvPr id="1070" name="Gruppieren 1026"/>
            <xdr:cNvGrpSpPr/>
          </xdr:nvGrpSpPr>
          <xdr:grpSpPr>
            <a:xfrm>
              <a:off x="382663" y="22768645"/>
              <a:ext cx="580947" cy="431106"/>
              <a:chOff x="379573" y="22188908"/>
              <a:chExt cx="580947" cy="431106"/>
            </a:xfrm>
          </xdr:grpSpPr>
          <xdr:grpSp>
            <xdr:nvGrpSpPr>
              <xdr:cNvPr id="1072" name="Gruppieren 1007"/>
              <xdr:cNvGrpSpPr/>
            </xdr:nvGrpSpPr>
            <xdr:grpSpPr>
              <a:xfrm>
                <a:off x="379573" y="22188908"/>
                <a:ext cx="205201" cy="430642"/>
                <a:chOff x="367176" y="21617962"/>
                <a:chExt cx="205201" cy="430642"/>
              </a:xfrm>
            </xdr:grpSpPr>
            <xdr:sp macro="" textlink="">
              <xdr:nvSpPr>
                <xdr:cNvPr id="1078" name="Ellipse 1077"/>
                <xdr:cNvSpPr/>
              </xdr:nvSpPr>
              <xdr:spPr>
                <a:xfrm>
                  <a:off x="367177" y="21617962"/>
                  <a:ext cx="2052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A1</a:t>
                  </a:r>
                </a:p>
              </xdr:txBody>
            </xdr:sp>
            <xdr:sp macro="" textlink="">
              <xdr:nvSpPr>
                <xdr:cNvPr id="1079" name="Ellipse 1078"/>
                <xdr:cNvSpPr/>
              </xdr:nvSpPr>
              <xdr:spPr>
                <a:xfrm>
                  <a:off x="367176" y="21868604"/>
                  <a:ext cx="2052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A2</a:t>
                  </a:r>
                </a:p>
              </xdr:txBody>
            </xdr:sp>
          </xdr:grpSp>
          <xdr:cxnSp macro="">
            <xdr:nvCxnSpPr>
              <xdr:cNvPr id="1073" name="Gewinkelte Verbindung 35"/>
              <xdr:cNvCxnSpPr>
                <a:stCxn id="1078" idx="6"/>
                <a:endCxn id="1077" idx="2"/>
              </xdr:cNvCxnSpPr>
            </xdr:nvCxnSpPr>
            <xdr:spPr>
              <a:xfrm>
                <a:off x="584774" y="22278908"/>
                <a:ext cx="195746" cy="1588"/>
              </a:xfrm>
              <a:prstGeom prst="curvedConnector3">
                <a:avLst>
                  <a:gd name="adj1" fmla="val 50000"/>
                </a:avLst>
              </a:prstGeom>
              <a:ln>
                <a:tailEnd type="triangle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74" name="Gewinkelte Verbindung 35"/>
              <xdr:cNvCxnSpPr>
                <a:stCxn id="1079" idx="6"/>
                <a:endCxn id="1076" idx="2"/>
              </xdr:cNvCxnSpPr>
            </xdr:nvCxnSpPr>
            <xdr:spPr>
              <a:xfrm>
                <a:off x="584773" y="22529550"/>
                <a:ext cx="195747" cy="464"/>
              </a:xfrm>
              <a:prstGeom prst="curvedConnector3">
                <a:avLst>
                  <a:gd name="adj1" fmla="val 50000"/>
                </a:avLst>
              </a:prstGeom>
              <a:ln>
                <a:tailEnd type="triangle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1075" name="Gruppieren 1024"/>
              <xdr:cNvGrpSpPr/>
            </xdr:nvGrpSpPr>
            <xdr:grpSpPr>
              <a:xfrm>
                <a:off x="780520" y="22188908"/>
                <a:ext cx="180000" cy="431106"/>
                <a:chOff x="780520" y="22188908"/>
                <a:chExt cx="180000" cy="431106"/>
              </a:xfrm>
            </xdr:grpSpPr>
            <xdr:sp macro="" textlink="">
              <xdr:nvSpPr>
                <xdr:cNvPr id="1076" name="Ellipse 1075"/>
                <xdr:cNvSpPr/>
              </xdr:nvSpPr>
              <xdr:spPr>
                <a:xfrm>
                  <a:off x="780520" y="22440014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C</a:t>
                  </a:r>
                </a:p>
              </xdr:txBody>
            </xdr:sp>
            <xdr:sp macro="" textlink="">
              <xdr:nvSpPr>
                <xdr:cNvPr id="1077" name="Ellipse 1076"/>
                <xdr:cNvSpPr/>
              </xdr:nvSpPr>
              <xdr:spPr>
                <a:xfrm>
                  <a:off x="780520" y="22188908"/>
                  <a:ext cx="180000" cy="180000"/>
                </a:xfrm>
                <a:prstGeom prst="ellipse">
                  <a:avLst/>
                </a:prstGeom>
                <a:effectLst/>
              </xdr:spPr>
              <xdr:style>
                <a:lnRef idx="1">
                  <a:schemeClr val="accent1"/>
                </a:lnRef>
                <a:fillRef idx="2">
                  <a:schemeClr val="accent1"/>
                </a:fillRef>
                <a:effectRef idx="1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lIns="0" tIns="0" rIns="0" bIns="0" rtlCol="0" anchor="ctr"/>
                <a:lstStyle/>
                <a:p>
                  <a:pPr algn="ctr"/>
                  <a:r>
                    <a:rPr lang="de-DE" sz="1050" b="0"/>
                    <a:t>B</a:t>
                  </a:r>
                </a:p>
              </xdr:txBody>
            </xdr:sp>
          </xdr:grpSp>
        </xdr:grpSp>
        <xdr:cxnSp macro="">
          <xdr:nvCxnSpPr>
            <xdr:cNvPr id="1071" name="Gewinkelte Verbindung 35"/>
            <xdr:cNvCxnSpPr>
              <a:stCxn id="1077" idx="6"/>
              <a:endCxn id="1076" idx="6"/>
            </xdr:cNvCxnSpPr>
          </xdr:nvCxnSpPr>
          <xdr:spPr>
            <a:xfrm>
              <a:off x="963610" y="22858645"/>
              <a:ext cx="1588" cy="251106"/>
            </a:xfrm>
            <a:prstGeom prst="curvedConnector3">
              <a:avLst>
                <a:gd name="adj1" fmla="val 5317256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9" name="Gewinkelte Verbindung 35"/>
          <xdr:cNvCxnSpPr>
            <a:stCxn id="1076" idx="1"/>
            <a:endCxn id="1078" idx="5"/>
          </xdr:cNvCxnSpPr>
        </xdr:nvCxnSpPr>
        <xdr:spPr>
          <a:xfrm rot="16200000" flipV="1">
            <a:off x="630613" y="23438595"/>
            <a:ext cx="123826" cy="252157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39897</xdr:colOff>
      <xdr:row>49</xdr:row>
      <xdr:rowOff>17860</xdr:rowOff>
    </xdr:from>
    <xdr:to>
      <xdr:col>1</xdr:col>
      <xdr:colOff>952131</xdr:colOff>
      <xdr:row>49</xdr:row>
      <xdr:rowOff>544216</xdr:rowOff>
    </xdr:to>
    <xdr:grpSp>
      <xdr:nvGrpSpPr>
        <xdr:cNvPr id="1111" name="Gruppieren 1110"/>
        <xdr:cNvGrpSpPr/>
      </xdr:nvGrpSpPr>
      <xdr:grpSpPr>
        <a:xfrm>
          <a:off x="258769" y="26136626"/>
          <a:ext cx="912234" cy="526356"/>
          <a:chOff x="269591" y="24412065"/>
          <a:chExt cx="912234" cy="526356"/>
        </a:xfrm>
      </xdr:grpSpPr>
      <xdr:grpSp>
        <xdr:nvGrpSpPr>
          <xdr:cNvPr id="1091" name="Gruppieren 1007"/>
          <xdr:cNvGrpSpPr/>
        </xdr:nvGrpSpPr>
        <xdr:grpSpPr>
          <a:xfrm>
            <a:off x="269591" y="24507315"/>
            <a:ext cx="205201" cy="430642"/>
            <a:chOff x="367176" y="21617962"/>
            <a:chExt cx="205201" cy="430642"/>
          </a:xfrm>
        </xdr:grpSpPr>
        <xdr:sp macro="" textlink="">
          <xdr:nvSpPr>
            <xdr:cNvPr id="1097" name="Ellipse 1096"/>
            <xdr:cNvSpPr/>
          </xdr:nvSpPr>
          <xdr:spPr>
            <a:xfrm>
              <a:off x="367177" y="21617962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A1</a:t>
              </a:r>
            </a:p>
          </xdr:txBody>
        </xdr:sp>
        <xdr:sp macro="" textlink="">
          <xdr:nvSpPr>
            <xdr:cNvPr id="1098" name="Ellipse 1097"/>
            <xdr:cNvSpPr/>
          </xdr:nvSpPr>
          <xdr:spPr>
            <a:xfrm>
              <a:off x="367176" y="21868604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A2</a:t>
              </a:r>
            </a:p>
          </xdr:txBody>
        </xdr:sp>
      </xdr:grpSp>
      <xdr:cxnSp macro="">
        <xdr:nvCxnSpPr>
          <xdr:cNvPr id="1092" name="Gewinkelte Verbindung 35"/>
          <xdr:cNvCxnSpPr>
            <a:stCxn id="1097" idx="6"/>
            <a:endCxn id="1096" idx="2"/>
          </xdr:cNvCxnSpPr>
        </xdr:nvCxnSpPr>
        <xdr:spPr>
          <a:xfrm>
            <a:off x="474792" y="24597315"/>
            <a:ext cx="173516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93" name="Gewinkelte Verbindung 35"/>
          <xdr:cNvCxnSpPr>
            <a:stCxn id="1098" idx="6"/>
            <a:endCxn id="1095" idx="2"/>
          </xdr:cNvCxnSpPr>
        </xdr:nvCxnSpPr>
        <xdr:spPr>
          <a:xfrm>
            <a:off x="474791" y="24847957"/>
            <a:ext cx="173517" cy="46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094" name="Gruppieren 1024"/>
          <xdr:cNvGrpSpPr/>
        </xdr:nvGrpSpPr>
        <xdr:grpSpPr>
          <a:xfrm>
            <a:off x="648308" y="24507315"/>
            <a:ext cx="180000" cy="431106"/>
            <a:chOff x="780520" y="22188908"/>
            <a:chExt cx="180000" cy="431106"/>
          </a:xfrm>
        </xdr:grpSpPr>
        <xdr:sp macro="" textlink="">
          <xdr:nvSpPr>
            <xdr:cNvPr id="1095" name="Ellipse 1094"/>
            <xdr:cNvSpPr/>
          </xdr:nvSpPr>
          <xdr:spPr>
            <a:xfrm>
              <a:off x="780520" y="22440014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sp macro="" textlink="">
          <xdr:nvSpPr>
            <xdr:cNvPr id="1096" name="Ellipse 1095"/>
            <xdr:cNvSpPr/>
          </xdr:nvSpPr>
          <xdr:spPr>
            <a:xfrm>
              <a:off x="780520" y="2218890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</xdr:grpSp>
      <xdr:grpSp>
        <xdr:nvGrpSpPr>
          <xdr:cNvPr id="1101" name="Gruppieren 1100"/>
          <xdr:cNvGrpSpPr/>
        </xdr:nvGrpSpPr>
        <xdr:grpSpPr>
          <a:xfrm>
            <a:off x="1001825" y="24412065"/>
            <a:ext cx="180000" cy="393684"/>
            <a:chOff x="991620" y="24412065"/>
            <a:chExt cx="180000" cy="393684"/>
          </a:xfrm>
        </xdr:grpSpPr>
        <xdr:sp macro="" textlink="">
          <xdr:nvSpPr>
            <xdr:cNvPr id="1099" name="Ellipse 1098"/>
            <xdr:cNvSpPr/>
          </xdr:nvSpPr>
          <xdr:spPr>
            <a:xfrm>
              <a:off x="991620" y="24625749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E</a:t>
              </a:r>
            </a:p>
          </xdr:txBody>
        </xdr:sp>
        <xdr:sp macro="" textlink="">
          <xdr:nvSpPr>
            <xdr:cNvPr id="1100" name="Ellipse 1099"/>
            <xdr:cNvSpPr/>
          </xdr:nvSpPr>
          <xdr:spPr>
            <a:xfrm>
              <a:off x="991620" y="24412065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</xdr:grpSp>
      <xdr:cxnSp macro="">
        <xdr:nvCxnSpPr>
          <xdr:cNvPr id="1102" name="Gewinkelte Verbindung 35"/>
          <xdr:cNvCxnSpPr>
            <a:stCxn id="1096" idx="7"/>
            <a:endCxn id="1100" idx="2"/>
          </xdr:cNvCxnSpPr>
        </xdr:nvCxnSpPr>
        <xdr:spPr>
          <a:xfrm rot="5400000" flipH="1" flipV="1">
            <a:off x="886081" y="24417932"/>
            <a:ext cx="31610" cy="19987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05" name="Gewinkelte Verbindung 35"/>
          <xdr:cNvCxnSpPr>
            <a:stCxn id="1096" idx="5"/>
            <a:endCxn id="1099" idx="2"/>
          </xdr:cNvCxnSpPr>
        </xdr:nvCxnSpPr>
        <xdr:spPr>
          <a:xfrm rot="16200000" flipH="1">
            <a:off x="874489" y="24588413"/>
            <a:ext cx="54794" cy="19987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08" name="Gewinkelte Verbindung 35"/>
          <xdr:cNvCxnSpPr>
            <a:stCxn id="1099" idx="3"/>
            <a:endCxn id="1095" idx="6"/>
          </xdr:cNvCxnSpPr>
        </xdr:nvCxnSpPr>
        <xdr:spPr>
          <a:xfrm rot="5400000">
            <a:off x="893731" y="24713967"/>
            <a:ext cx="69032" cy="19987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39897</xdr:colOff>
      <xdr:row>50</xdr:row>
      <xdr:rowOff>20581</xdr:rowOff>
    </xdr:from>
    <xdr:to>
      <xdr:col>1</xdr:col>
      <xdr:colOff>952131</xdr:colOff>
      <xdr:row>50</xdr:row>
      <xdr:rowOff>546937</xdr:rowOff>
    </xdr:to>
    <xdr:grpSp>
      <xdr:nvGrpSpPr>
        <xdr:cNvPr id="1112" name="Gruppieren 1111"/>
        <xdr:cNvGrpSpPr/>
      </xdr:nvGrpSpPr>
      <xdr:grpSpPr>
        <a:xfrm>
          <a:off x="258769" y="26710847"/>
          <a:ext cx="912234" cy="526356"/>
          <a:chOff x="269591" y="24412065"/>
          <a:chExt cx="912234" cy="526356"/>
        </a:xfrm>
      </xdr:grpSpPr>
      <xdr:grpSp>
        <xdr:nvGrpSpPr>
          <xdr:cNvPr id="1113" name="Gruppieren 1007"/>
          <xdr:cNvGrpSpPr/>
        </xdr:nvGrpSpPr>
        <xdr:grpSpPr>
          <a:xfrm>
            <a:off x="269591" y="24507315"/>
            <a:ext cx="205201" cy="430642"/>
            <a:chOff x="367176" y="21617962"/>
            <a:chExt cx="205201" cy="430642"/>
          </a:xfrm>
        </xdr:grpSpPr>
        <xdr:sp macro="" textlink="">
          <xdr:nvSpPr>
            <xdr:cNvPr id="1125" name="Ellipse 1124"/>
            <xdr:cNvSpPr/>
          </xdr:nvSpPr>
          <xdr:spPr>
            <a:xfrm>
              <a:off x="367177" y="21617962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A1</a:t>
              </a:r>
            </a:p>
          </xdr:txBody>
        </xdr:sp>
        <xdr:sp macro="" textlink="">
          <xdr:nvSpPr>
            <xdr:cNvPr id="1126" name="Ellipse 1125"/>
            <xdr:cNvSpPr/>
          </xdr:nvSpPr>
          <xdr:spPr>
            <a:xfrm>
              <a:off x="367176" y="21868604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A2</a:t>
              </a:r>
            </a:p>
          </xdr:txBody>
        </xdr:sp>
      </xdr:grpSp>
      <xdr:cxnSp macro="">
        <xdr:nvCxnSpPr>
          <xdr:cNvPr id="1114" name="Gewinkelte Verbindung 35"/>
          <xdr:cNvCxnSpPr>
            <a:stCxn id="1125" idx="6"/>
            <a:endCxn id="1124" idx="2"/>
          </xdr:cNvCxnSpPr>
        </xdr:nvCxnSpPr>
        <xdr:spPr>
          <a:xfrm>
            <a:off x="474792" y="24597315"/>
            <a:ext cx="173516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5" name="Gewinkelte Verbindung 35"/>
          <xdr:cNvCxnSpPr>
            <a:stCxn id="1126" idx="6"/>
            <a:endCxn id="1123" idx="2"/>
          </xdr:cNvCxnSpPr>
        </xdr:nvCxnSpPr>
        <xdr:spPr>
          <a:xfrm>
            <a:off x="474791" y="24847957"/>
            <a:ext cx="173517" cy="46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116" name="Gruppieren 1024"/>
          <xdr:cNvGrpSpPr/>
        </xdr:nvGrpSpPr>
        <xdr:grpSpPr>
          <a:xfrm>
            <a:off x="648308" y="24507315"/>
            <a:ext cx="180000" cy="431106"/>
            <a:chOff x="780520" y="22188908"/>
            <a:chExt cx="180000" cy="431106"/>
          </a:xfrm>
        </xdr:grpSpPr>
        <xdr:sp macro="" textlink="">
          <xdr:nvSpPr>
            <xdr:cNvPr id="1123" name="Ellipse 1122"/>
            <xdr:cNvSpPr/>
          </xdr:nvSpPr>
          <xdr:spPr>
            <a:xfrm>
              <a:off x="780520" y="22440014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sp macro="" textlink="">
          <xdr:nvSpPr>
            <xdr:cNvPr id="1124" name="Ellipse 1123"/>
            <xdr:cNvSpPr/>
          </xdr:nvSpPr>
          <xdr:spPr>
            <a:xfrm>
              <a:off x="780520" y="2218890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</xdr:grpSp>
      <xdr:grpSp>
        <xdr:nvGrpSpPr>
          <xdr:cNvPr id="1117" name="Gruppieren 1100"/>
          <xdr:cNvGrpSpPr/>
        </xdr:nvGrpSpPr>
        <xdr:grpSpPr>
          <a:xfrm>
            <a:off x="1001825" y="24412065"/>
            <a:ext cx="180000" cy="393684"/>
            <a:chOff x="991620" y="24412065"/>
            <a:chExt cx="180000" cy="393684"/>
          </a:xfrm>
        </xdr:grpSpPr>
        <xdr:sp macro="" textlink="">
          <xdr:nvSpPr>
            <xdr:cNvPr id="1121" name="Ellipse 1120"/>
            <xdr:cNvSpPr/>
          </xdr:nvSpPr>
          <xdr:spPr>
            <a:xfrm>
              <a:off x="991620" y="24625749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E</a:t>
              </a:r>
            </a:p>
          </xdr:txBody>
        </xdr:sp>
        <xdr:sp macro="" textlink="">
          <xdr:nvSpPr>
            <xdr:cNvPr id="1122" name="Ellipse 1121"/>
            <xdr:cNvSpPr/>
          </xdr:nvSpPr>
          <xdr:spPr>
            <a:xfrm>
              <a:off x="991620" y="24412065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</xdr:grpSp>
      <xdr:cxnSp macro="">
        <xdr:nvCxnSpPr>
          <xdr:cNvPr id="1118" name="Gewinkelte Verbindung 35"/>
          <xdr:cNvCxnSpPr>
            <a:stCxn id="1124" idx="7"/>
            <a:endCxn id="1122" idx="2"/>
          </xdr:cNvCxnSpPr>
        </xdr:nvCxnSpPr>
        <xdr:spPr>
          <a:xfrm rot="5400000" flipH="1" flipV="1">
            <a:off x="886081" y="24417932"/>
            <a:ext cx="31610" cy="19987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9" name="Gewinkelte Verbindung 35"/>
          <xdr:cNvCxnSpPr>
            <a:stCxn id="1124" idx="5"/>
            <a:endCxn id="1121" idx="2"/>
          </xdr:cNvCxnSpPr>
        </xdr:nvCxnSpPr>
        <xdr:spPr>
          <a:xfrm rot="16200000" flipH="1">
            <a:off x="874489" y="24588413"/>
            <a:ext cx="54794" cy="19987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0" name="Gewinkelte Verbindung 35"/>
          <xdr:cNvCxnSpPr>
            <a:stCxn id="1121" idx="4"/>
            <a:endCxn id="1126" idx="7"/>
          </xdr:cNvCxnSpPr>
        </xdr:nvCxnSpPr>
        <xdr:spPr>
          <a:xfrm rot="5400000" flipH="1">
            <a:off x="757567" y="24471491"/>
            <a:ext cx="21432" cy="647085"/>
          </a:xfrm>
          <a:prstGeom prst="curvedConnector5">
            <a:avLst>
              <a:gd name="adj1" fmla="val -177790"/>
              <a:gd name="adj2" fmla="val 34588"/>
              <a:gd name="adj3" fmla="val 41013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34929</xdr:colOff>
      <xdr:row>51</xdr:row>
      <xdr:rowOff>71069</xdr:rowOff>
    </xdr:from>
    <xdr:to>
      <xdr:col>1</xdr:col>
      <xdr:colOff>947163</xdr:colOff>
      <xdr:row>51</xdr:row>
      <xdr:rowOff>576908</xdr:rowOff>
    </xdr:to>
    <xdr:grpSp>
      <xdr:nvGrpSpPr>
        <xdr:cNvPr id="1129" name="Gruppieren 1128"/>
        <xdr:cNvGrpSpPr/>
      </xdr:nvGrpSpPr>
      <xdr:grpSpPr>
        <a:xfrm>
          <a:off x="253801" y="27332835"/>
          <a:ext cx="912234" cy="505839"/>
          <a:chOff x="269591" y="24432582"/>
          <a:chExt cx="912234" cy="505839"/>
        </a:xfrm>
      </xdr:grpSpPr>
      <xdr:grpSp>
        <xdr:nvGrpSpPr>
          <xdr:cNvPr id="1130" name="Gruppieren 1007"/>
          <xdr:cNvGrpSpPr/>
        </xdr:nvGrpSpPr>
        <xdr:grpSpPr>
          <a:xfrm>
            <a:off x="269591" y="24527832"/>
            <a:ext cx="205201" cy="410125"/>
            <a:chOff x="367176" y="21638479"/>
            <a:chExt cx="205201" cy="410125"/>
          </a:xfrm>
        </xdr:grpSpPr>
        <xdr:sp macro="" textlink="">
          <xdr:nvSpPr>
            <xdr:cNvPr id="1142" name="Ellipse 1141"/>
            <xdr:cNvSpPr/>
          </xdr:nvSpPr>
          <xdr:spPr>
            <a:xfrm>
              <a:off x="367177" y="21638479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A1</a:t>
              </a:r>
            </a:p>
          </xdr:txBody>
        </xdr:sp>
        <xdr:sp macro="" textlink="">
          <xdr:nvSpPr>
            <xdr:cNvPr id="1143" name="Ellipse 1142"/>
            <xdr:cNvSpPr/>
          </xdr:nvSpPr>
          <xdr:spPr>
            <a:xfrm>
              <a:off x="367176" y="21868604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A2</a:t>
              </a:r>
            </a:p>
          </xdr:txBody>
        </xdr:sp>
      </xdr:grpSp>
      <xdr:cxnSp macro="">
        <xdr:nvCxnSpPr>
          <xdr:cNvPr id="1131" name="Gewinkelte Verbindung 35"/>
          <xdr:cNvCxnSpPr>
            <a:stCxn id="1142" idx="6"/>
            <a:endCxn id="1141" idx="2"/>
          </xdr:cNvCxnSpPr>
        </xdr:nvCxnSpPr>
        <xdr:spPr>
          <a:xfrm>
            <a:off x="474792" y="24617832"/>
            <a:ext cx="173516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2" name="Gewinkelte Verbindung 35"/>
          <xdr:cNvCxnSpPr>
            <a:stCxn id="1143" idx="6"/>
            <a:endCxn id="1140" idx="2"/>
          </xdr:cNvCxnSpPr>
        </xdr:nvCxnSpPr>
        <xdr:spPr>
          <a:xfrm>
            <a:off x="474791" y="24847957"/>
            <a:ext cx="173517" cy="46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133" name="Gruppieren 1024"/>
          <xdr:cNvGrpSpPr/>
        </xdr:nvGrpSpPr>
        <xdr:grpSpPr>
          <a:xfrm>
            <a:off x="648308" y="24527832"/>
            <a:ext cx="180000" cy="410589"/>
            <a:chOff x="780520" y="22209425"/>
            <a:chExt cx="180000" cy="410589"/>
          </a:xfrm>
        </xdr:grpSpPr>
        <xdr:sp macro="" textlink="">
          <xdr:nvSpPr>
            <xdr:cNvPr id="1140" name="Ellipse 1139"/>
            <xdr:cNvSpPr/>
          </xdr:nvSpPr>
          <xdr:spPr>
            <a:xfrm>
              <a:off x="780520" y="22440014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sp macro="" textlink="">
          <xdr:nvSpPr>
            <xdr:cNvPr id="1141" name="Ellipse 1140"/>
            <xdr:cNvSpPr/>
          </xdr:nvSpPr>
          <xdr:spPr>
            <a:xfrm>
              <a:off x="780520" y="22209425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</xdr:grpSp>
      <xdr:grpSp>
        <xdr:nvGrpSpPr>
          <xdr:cNvPr id="1134" name="Gruppieren 1100"/>
          <xdr:cNvGrpSpPr/>
        </xdr:nvGrpSpPr>
        <xdr:grpSpPr>
          <a:xfrm>
            <a:off x="1001825" y="24432582"/>
            <a:ext cx="180000" cy="393684"/>
            <a:chOff x="991620" y="24432582"/>
            <a:chExt cx="180000" cy="393684"/>
          </a:xfrm>
        </xdr:grpSpPr>
        <xdr:sp macro="" textlink="">
          <xdr:nvSpPr>
            <xdr:cNvPr id="1138" name="Ellipse 1137"/>
            <xdr:cNvSpPr/>
          </xdr:nvSpPr>
          <xdr:spPr>
            <a:xfrm>
              <a:off x="991620" y="2464626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E</a:t>
              </a:r>
            </a:p>
          </xdr:txBody>
        </xdr:sp>
        <xdr:sp macro="" textlink="">
          <xdr:nvSpPr>
            <xdr:cNvPr id="1139" name="Ellipse 1138"/>
            <xdr:cNvSpPr/>
          </xdr:nvSpPr>
          <xdr:spPr>
            <a:xfrm>
              <a:off x="991620" y="24432582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</xdr:grpSp>
      <xdr:cxnSp macro="">
        <xdr:nvCxnSpPr>
          <xdr:cNvPr id="1135" name="Gewinkelte Verbindung 35"/>
          <xdr:cNvCxnSpPr>
            <a:stCxn id="1141" idx="7"/>
            <a:endCxn id="1139" idx="2"/>
          </xdr:cNvCxnSpPr>
        </xdr:nvCxnSpPr>
        <xdr:spPr>
          <a:xfrm rot="5400000" flipH="1" flipV="1">
            <a:off x="886081" y="24438449"/>
            <a:ext cx="31610" cy="19987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6" name="Gewinkelte Verbindung 35"/>
          <xdr:cNvCxnSpPr>
            <a:stCxn id="1141" idx="5"/>
            <a:endCxn id="1138" idx="2"/>
          </xdr:cNvCxnSpPr>
        </xdr:nvCxnSpPr>
        <xdr:spPr>
          <a:xfrm rot="16200000" flipH="1">
            <a:off x="874489" y="24608930"/>
            <a:ext cx="54794" cy="199877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7" name="Gewinkelte Verbindung 35"/>
          <xdr:cNvCxnSpPr>
            <a:stCxn id="1139" idx="1"/>
            <a:endCxn id="1142" idx="7"/>
          </xdr:cNvCxnSpPr>
        </xdr:nvCxnSpPr>
        <xdr:spPr>
          <a:xfrm rot="16200000" flipH="1" flipV="1">
            <a:off x="688838" y="24214845"/>
            <a:ext cx="95250" cy="583444"/>
          </a:xfrm>
          <a:prstGeom prst="curvedConnector3">
            <a:avLst>
              <a:gd name="adj1" fmla="val -47335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439213</xdr:colOff>
      <xdr:row>51</xdr:row>
      <xdr:rowOff>320753</xdr:rowOff>
    </xdr:from>
    <xdr:to>
      <xdr:col>1</xdr:col>
      <xdr:colOff>440801</xdr:colOff>
      <xdr:row>51</xdr:row>
      <xdr:rowOff>424062</xdr:rowOff>
    </xdr:to>
    <xdr:cxnSp macro="">
      <xdr:nvCxnSpPr>
        <xdr:cNvPr id="1151" name="Gewinkelte Verbindung 35"/>
        <xdr:cNvCxnSpPr>
          <a:stCxn id="1140" idx="1"/>
          <a:endCxn id="1141" idx="3"/>
        </xdr:cNvCxnSpPr>
      </xdr:nvCxnSpPr>
      <xdr:spPr>
        <a:xfrm rot="5400000" flipH="1" flipV="1">
          <a:off x="607427" y="27632164"/>
          <a:ext cx="103309" cy="1588"/>
        </a:xfrm>
        <a:prstGeom prst="curvedConnector3">
          <a:avLst>
            <a:gd name="adj1" fmla="val 50000"/>
          </a:avLst>
        </a:prstGeom>
        <a:ln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71034</xdr:colOff>
      <xdr:row>52</xdr:row>
      <xdr:rowOff>57039</xdr:rowOff>
    </xdr:from>
    <xdr:to>
      <xdr:col>1</xdr:col>
      <xdr:colOff>597945</xdr:colOff>
      <xdr:row>52</xdr:row>
      <xdr:rowOff>237043</xdr:rowOff>
    </xdr:to>
    <xdr:grpSp>
      <xdr:nvGrpSpPr>
        <xdr:cNvPr id="536" name="Gruppieren 535"/>
        <xdr:cNvGrpSpPr/>
      </xdr:nvGrpSpPr>
      <xdr:grpSpPr>
        <a:xfrm>
          <a:off x="289906" y="27947050"/>
          <a:ext cx="526911" cy="180004"/>
          <a:chOff x="261532" y="27576215"/>
          <a:chExt cx="526911" cy="180004"/>
        </a:xfrm>
      </xdr:grpSpPr>
      <xdr:cxnSp macro="">
        <xdr:nvCxnSpPr>
          <xdr:cNvPr id="1156" name="Gewinkelte Verbindung 35"/>
          <xdr:cNvCxnSpPr>
            <a:stCxn id="1167" idx="6"/>
            <a:endCxn id="1166" idx="2"/>
          </xdr:cNvCxnSpPr>
        </xdr:nvCxnSpPr>
        <xdr:spPr>
          <a:xfrm flipV="1">
            <a:off x="479055" y="27666215"/>
            <a:ext cx="131086" cy="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67" name="Ellipse 1166"/>
          <xdr:cNvSpPr/>
        </xdr:nvSpPr>
        <xdr:spPr>
          <a:xfrm>
            <a:off x="261532" y="27576219"/>
            <a:ext cx="217523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A1</a:t>
            </a:r>
          </a:p>
        </xdr:txBody>
      </xdr:sp>
      <xdr:sp macro="" textlink="">
        <xdr:nvSpPr>
          <xdr:cNvPr id="1166" name="Ellipse 1165"/>
          <xdr:cNvSpPr/>
        </xdr:nvSpPr>
        <xdr:spPr>
          <a:xfrm>
            <a:off x="610141" y="27576215"/>
            <a:ext cx="178302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</xdr:grpSp>
    <xdr:clientData/>
  </xdr:twoCellAnchor>
  <xdr:twoCellAnchor>
    <xdr:from>
      <xdr:col>1</xdr:col>
      <xdr:colOff>81895</xdr:colOff>
      <xdr:row>52</xdr:row>
      <xdr:rowOff>95630</xdr:rowOff>
    </xdr:from>
    <xdr:to>
      <xdr:col>1</xdr:col>
      <xdr:colOff>1014419</xdr:colOff>
      <xdr:row>52</xdr:row>
      <xdr:rowOff>662662</xdr:rowOff>
    </xdr:to>
    <xdr:grpSp>
      <xdr:nvGrpSpPr>
        <xdr:cNvPr id="540" name="Gruppieren 539"/>
        <xdr:cNvGrpSpPr/>
      </xdr:nvGrpSpPr>
      <xdr:grpSpPr>
        <a:xfrm>
          <a:off x="300767" y="27985641"/>
          <a:ext cx="932524" cy="567032"/>
          <a:chOff x="259477" y="27637409"/>
          <a:chExt cx="964814" cy="567032"/>
        </a:xfrm>
      </xdr:grpSpPr>
      <xdr:sp macro="" textlink="">
        <xdr:nvSpPr>
          <xdr:cNvPr id="1168" name="Ellipse 1167"/>
          <xdr:cNvSpPr/>
        </xdr:nvSpPr>
        <xdr:spPr>
          <a:xfrm>
            <a:off x="259477" y="27925001"/>
            <a:ext cx="218251" cy="174512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A2</a:t>
            </a:r>
          </a:p>
        </xdr:txBody>
      </xdr:sp>
      <xdr:grpSp>
        <xdr:nvGrpSpPr>
          <xdr:cNvPr id="1178" name="Gruppieren 1177"/>
          <xdr:cNvGrpSpPr/>
        </xdr:nvGrpSpPr>
        <xdr:grpSpPr>
          <a:xfrm>
            <a:off x="621099" y="27830017"/>
            <a:ext cx="191448" cy="371786"/>
            <a:chOff x="638053" y="26363840"/>
            <a:chExt cx="180000" cy="383478"/>
          </a:xfrm>
        </xdr:grpSpPr>
        <xdr:sp macro="" textlink="">
          <xdr:nvSpPr>
            <xdr:cNvPr id="1176" name="Ellipse 1175"/>
            <xdr:cNvSpPr/>
          </xdr:nvSpPr>
          <xdr:spPr>
            <a:xfrm>
              <a:off x="638053" y="2656731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  <xdr:sp macro="" textlink="">
          <xdr:nvSpPr>
            <xdr:cNvPr id="1177" name="Ellipse 1176"/>
            <xdr:cNvSpPr/>
          </xdr:nvSpPr>
          <xdr:spPr>
            <a:xfrm>
              <a:off x="638053" y="26363840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</xdr:grpSp>
      <xdr:grpSp>
        <xdr:nvGrpSpPr>
          <xdr:cNvPr id="1187" name="Gruppieren 1186"/>
          <xdr:cNvGrpSpPr/>
        </xdr:nvGrpSpPr>
        <xdr:grpSpPr>
          <a:xfrm>
            <a:off x="1000553" y="27637409"/>
            <a:ext cx="191448" cy="567032"/>
            <a:chOff x="1018372" y="26158372"/>
            <a:chExt cx="180000" cy="584864"/>
          </a:xfrm>
        </xdr:grpSpPr>
        <xdr:sp macro="" textlink="">
          <xdr:nvSpPr>
            <xdr:cNvPr id="1179" name="Ellipse 1178"/>
            <xdr:cNvSpPr/>
          </xdr:nvSpPr>
          <xdr:spPr>
            <a:xfrm>
              <a:off x="1018372" y="26158372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F</a:t>
              </a:r>
            </a:p>
          </xdr:txBody>
        </xdr:sp>
        <xdr:grpSp>
          <xdr:nvGrpSpPr>
            <xdr:cNvPr id="1180" name="Gruppieren 1179"/>
            <xdr:cNvGrpSpPr/>
          </xdr:nvGrpSpPr>
          <xdr:grpSpPr>
            <a:xfrm>
              <a:off x="1018372" y="26356356"/>
              <a:ext cx="180000" cy="386880"/>
              <a:chOff x="638053" y="26357036"/>
              <a:chExt cx="180000" cy="386880"/>
            </a:xfrm>
          </xdr:grpSpPr>
          <xdr:sp macro="" textlink="">
            <xdr:nvSpPr>
              <xdr:cNvPr id="1181" name="Ellipse 1180"/>
              <xdr:cNvSpPr/>
            </xdr:nvSpPr>
            <xdr:spPr>
              <a:xfrm>
                <a:off x="638053" y="26563916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H</a:t>
                </a:r>
              </a:p>
            </xdr:txBody>
          </xdr:sp>
          <xdr:sp macro="" textlink="">
            <xdr:nvSpPr>
              <xdr:cNvPr id="1182" name="Ellipse 1181"/>
              <xdr:cNvSpPr/>
            </xdr:nvSpPr>
            <xdr:spPr>
              <a:xfrm>
                <a:off x="638053" y="26357036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G</a:t>
                </a:r>
              </a:p>
            </xdr:txBody>
          </xdr:sp>
        </xdr:grpSp>
      </xdr:grpSp>
      <xdr:cxnSp macro="">
        <xdr:nvCxnSpPr>
          <xdr:cNvPr id="1188" name="Gewinkelte Verbindung 35"/>
          <xdr:cNvCxnSpPr>
            <a:stCxn id="1168" idx="7"/>
            <a:endCxn id="1177" idx="2"/>
          </xdr:cNvCxnSpPr>
        </xdr:nvCxnSpPr>
        <xdr:spPr>
          <a:xfrm rot="5400000" flipH="1" flipV="1">
            <a:off x="516790" y="27846250"/>
            <a:ext cx="33285" cy="17533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1" name="Gewinkelte Verbindung 35"/>
          <xdr:cNvCxnSpPr>
            <a:stCxn id="1168" idx="5"/>
            <a:endCxn id="1176" idx="2"/>
          </xdr:cNvCxnSpPr>
        </xdr:nvCxnSpPr>
        <xdr:spPr>
          <a:xfrm rot="16200000" flipH="1">
            <a:off x="513137" y="28006584"/>
            <a:ext cx="40591" cy="17533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4" name="Gewinkelte Verbindung 35"/>
          <xdr:cNvCxnSpPr>
            <a:stCxn id="1177" idx="7"/>
            <a:endCxn id="1179" idx="2"/>
          </xdr:cNvCxnSpPr>
        </xdr:nvCxnSpPr>
        <xdr:spPr>
          <a:xfrm rot="5400000" flipH="1" flipV="1">
            <a:off x="827077" y="27682099"/>
            <a:ext cx="130909" cy="21604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7" name="Gewinkelte Verbindung 35"/>
          <xdr:cNvCxnSpPr>
            <a:stCxn id="1177" idx="6"/>
            <a:endCxn id="1182" idx="2"/>
          </xdr:cNvCxnSpPr>
        </xdr:nvCxnSpPr>
        <xdr:spPr>
          <a:xfrm flipV="1">
            <a:off x="812547" y="27916613"/>
            <a:ext cx="188006" cy="660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0" name="Gewinkelte Verbindung 35"/>
          <xdr:cNvCxnSpPr>
            <a:stCxn id="1177" idx="5"/>
            <a:endCxn id="1181" idx="2"/>
          </xdr:cNvCxnSpPr>
        </xdr:nvCxnSpPr>
        <xdr:spPr>
          <a:xfrm rot="16200000" flipH="1">
            <a:off x="823425" y="27940056"/>
            <a:ext cx="138213" cy="216043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81895</xdr:colOff>
      <xdr:row>52</xdr:row>
      <xdr:rowOff>761602</xdr:rowOff>
    </xdr:from>
    <xdr:to>
      <xdr:col>1</xdr:col>
      <xdr:colOff>1014419</xdr:colOff>
      <xdr:row>52</xdr:row>
      <xdr:rowOff>937458</xdr:rowOff>
    </xdr:to>
    <xdr:grpSp>
      <xdr:nvGrpSpPr>
        <xdr:cNvPr id="541" name="Gruppieren 540"/>
        <xdr:cNvGrpSpPr/>
      </xdr:nvGrpSpPr>
      <xdr:grpSpPr>
        <a:xfrm>
          <a:off x="300767" y="28651613"/>
          <a:ext cx="932524" cy="175856"/>
          <a:chOff x="259477" y="28303381"/>
          <a:chExt cx="964814" cy="175856"/>
        </a:xfrm>
      </xdr:grpSpPr>
      <xdr:cxnSp macro="">
        <xdr:nvCxnSpPr>
          <xdr:cNvPr id="1157" name="Gewinkelte Verbindung 35"/>
          <xdr:cNvCxnSpPr>
            <a:stCxn id="1169" idx="6"/>
            <a:endCxn id="1165" idx="2"/>
          </xdr:cNvCxnSpPr>
        </xdr:nvCxnSpPr>
        <xdr:spPr>
          <a:xfrm>
            <a:off x="477728" y="28390637"/>
            <a:ext cx="143371" cy="134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65" name="Ellipse 1164"/>
          <xdr:cNvSpPr/>
        </xdr:nvSpPr>
        <xdr:spPr>
          <a:xfrm>
            <a:off x="621099" y="28304725"/>
            <a:ext cx="191448" cy="174512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E</a:t>
            </a:r>
          </a:p>
        </xdr:txBody>
      </xdr:sp>
      <xdr:sp macro="" textlink="">
        <xdr:nvSpPr>
          <xdr:cNvPr id="1169" name="Ellipse 1168"/>
          <xdr:cNvSpPr/>
        </xdr:nvSpPr>
        <xdr:spPr>
          <a:xfrm>
            <a:off x="259477" y="28303381"/>
            <a:ext cx="218251" cy="174512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A3</a:t>
            </a:r>
          </a:p>
        </xdr:txBody>
      </xdr:sp>
      <xdr:sp macro="" textlink="">
        <xdr:nvSpPr>
          <xdr:cNvPr id="1184" name="Ellipse 1183"/>
          <xdr:cNvSpPr/>
        </xdr:nvSpPr>
        <xdr:spPr>
          <a:xfrm>
            <a:off x="1000553" y="28304066"/>
            <a:ext cx="191448" cy="174512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I</a:t>
            </a:r>
          </a:p>
        </xdr:txBody>
      </xdr:sp>
      <xdr:cxnSp macro="">
        <xdr:nvCxnSpPr>
          <xdr:cNvPr id="1203" name="Gewinkelte Verbindung 35"/>
          <xdr:cNvCxnSpPr>
            <a:stCxn id="1165" idx="6"/>
            <a:endCxn id="1184" idx="2"/>
          </xdr:cNvCxnSpPr>
        </xdr:nvCxnSpPr>
        <xdr:spPr>
          <a:xfrm flipV="1">
            <a:off x="812547" y="28391322"/>
            <a:ext cx="188006" cy="659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256701</xdr:colOff>
      <xdr:row>52</xdr:row>
      <xdr:rowOff>83403</xdr:rowOff>
    </xdr:from>
    <xdr:to>
      <xdr:col>1</xdr:col>
      <xdr:colOff>825268</xdr:colOff>
      <xdr:row>52</xdr:row>
      <xdr:rowOff>121187</xdr:rowOff>
    </xdr:to>
    <xdr:cxnSp macro="">
      <xdr:nvCxnSpPr>
        <xdr:cNvPr id="1206" name="Gewinkelte Verbindung 35"/>
        <xdr:cNvCxnSpPr>
          <a:stCxn id="1179" idx="1"/>
          <a:endCxn id="1167" idx="7"/>
        </xdr:cNvCxnSpPr>
      </xdr:nvCxnSpPr>
      <xdr:spPr>
        <a:xfrm rot="16200000" flipV="1">
          <a:off x="741652" y="27366248"/>
          <a:ext cx="37784" cy="568567"/>
        </a:xfrm>
        <a:prstGeom prst="curvedConnector3">
          <a:avLst>
            <a:gd name="adj1" fmla="val 279147"/>
          </a:avLst>
        </a:prstGeom>
        <a:ln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32193</xdr:colOff>
      <xdr:row>53</xdr:row>
      <xdr:rowOff>33286</xdr:rowOff>
    </xdr:from>
    <xdr:to>
      <xdr:col>1</xdr:col>
      <xdr:colOff>940785</xdr:colOff>
      <xdr:row>53</xdr:row>
      <xdr:rowOff>932474</xdr:rowOff>
    </xdr:to>
    <xdr:grpSp>
      <xdr:nvGrpSpPr>
        <xdr:cNvPr id="1289" name="Gruppieren 1288"/>
        <xdr:cNvGrpSpPr/>
      </xdr:nvGrpSpPr>
      <xdr:grpSpPr>
        <a:xfrm>
          <a:off x="251065" y="28875797"/>
          <a:ext cx="908592" cy="899188"/>
          <a:chOff x="249871" y="27104594"/>
          <a:chExt cx="908592" cy="899188"/>
        </a:xfrm>
      </xdr:grpSpPr>
      <xdr:sp macro="" textlink="">
        <xdr:nvSpPr>
          <xdr:cNvPr id="1217" name="Ellipse 1216"/>
          <xdr:cNvSpPr/>
        </xdr:nvSpPr>
        <xdr:spPr>
          <a:xfrm>
            <a:off x="249871" y="27104594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A1</a:t>
            </a:r>
          </a:p>
        </xdr:txBody>
      </xdr:sp>
      <xdr:sp macro="" textlink="">
        <xdr:nvSpPr>
          <xdr:cNvPr id="1214" name="Ellipse 1213"/>
          <xdr:cNvSpPr/>
        </xdr:nvSpPr>
        <xdr:spPr>
          <a:xfrm>
            <a:off x="249871" y="27318960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A2</a:t>
            </a:r>
          </a:p>
        </xdr:txBody>
      </xdr:sp>
      <xdr:sp macro="" textlink="">
        <xdr:nvSpPr>
          <xdr:cNvPr id="1222" name="Ellipse 1221"/>
          <xdr:cNvSpPr/>
        </xdr:nvSpPr>
        <xdr:spPr>
          <a:xfrm>
            <a:off x="249871" y="27822427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A4</a:t>
            </a:r>
          </a:p>
        </xdr:txBody>
      </xdr:sp>
      <xdr:sp macro="" textlink="">
        <xdr:nvSpPr>
          <xdr:cNvPr id="1237" name="Ellipse 1236"/>
          <xdr:cNvSpPr/>
        </xdr:nvSpPr>
        <xdr:spPr>
          <a:xfrm>
            <a:off x="249871" y="27570694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A3</a:t>
            </a:r>
          </a:p>
        </xdr:txBody>
      </xdr:sp>
      <xdr:sp macro="" textlink="">
        <xdr:nvSpPr>
          <xdr:cNvPr id="1221" name="Ellipse 1220"/>
          <xdr:cNvSpPr/>
        </xdr:nvSpPr>
        <xdr:spPr>
          <a:xfrm>
            <a:off x="628354" y="27320346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sp macro="" textlink="">
        <xdr:nvSpPr>
          <xdr:cNvPr id="1238" name="Ellipse 1237"/>
          <xdr:cNvSpPr/>
        </xdr:nvSpPr>
        <xdr:spPr>
          <a:xfrm>
            <a:off x="627674" y="2757139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sp macro="" textlink="">
        <xdr:nvSpPr>
          <xdr:cNvPr id="1239" name="Ellipse 1238"/>
          <xdr:cNvSpPr/>
        </xdr:nvSpPr>
        <xdr:spPr>
          <a:xfrm>
            <a:off x="623592" y="27822450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D</a:t>
            </a:r>
          </a:p>
        </xdr:txBody>
      </xdr:sp>
      <xdr:grpSp>
        <xdr:nvGrpSpPr>
          <xdr:cNvPr id="1219" name="Gruppieren 1177"/>
          <xdr:cNvGrpSpPr/>
        </xdr:nvGrpSpPr>
        <xdr:grpSpPr>
          <a:xfrm>
            <a:off x="976875" y="27163890"/>
            <a:ext cx="180000" cy="377616"/>
            <a:chOff x="638053" y="26363840"/>
            <a:chExt cx="180000" cy="377616"/>
          </a:xfrm>
        </xdr:grpSpPr>
        <xdr:sp macro="" textlink="">
          <xdr:nvSpPr>
            <xdr:cNvPr id="1235" name="Ellipse 1234"/>
            <xdr:cNvSpPr/>
          </xdr:nvSpPr>
          <xdr:spPr>
            <a:xfrm>
              <a:off x="638053" y="26561456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F</a:t>
              </a:r>
            </a:p>
          </xdr:txBody>
        </xdr:sp>
        <xdr:sp macro="" textlink="">
          <xdr:nvSpPr>
            <xdr:cNvPr id="1236" name="Ellipse 1235"/>
            <xdr:cNvSpPr/>
          </xdr:nvSpPr>
          <xdr:spPr>
            <a:xfrm>
              <a:off x="638053" y="26363840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E</a:t>
              </a:r>
            </a:p>
          </xdr:txBody>
        </xdr:sp>
      </xdr:grpSp>
      <xdr:grpSp>
        <xdr:nvGrpSpPr>
          <xdr:cNvPr id="1244" name="Gruppieren 1243"/>
          <xdr:cNvGrpSpPr/>
        </xdr:nvGrpSpPr>
        <xdr:grpSpPr>
          <a:xfrm>
            <a:off x="976875" y="27622764"/>
            <a:ext cx="180000" cy="381018"/>
            <a:chOff x="990653" y="27620773"/>
            <a:chExt cx="180000" cy="381018"/>
          </a:xfrm>
        </xdr:grpSpPr>
        <xdr:sp macro="" textlink="">
          <xdr:nvSpPr>
            <xdr:cNvPr id="1242" name="Ellipse 1241"/>
            <xdr:cNvSpPr/>
          </xdr:nvSpPr>
          <xdr:spPr>
            <a:xfrm>
              <a:off x="990653" y="27821791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H</a:t>
              </a:r>
            </a:p>
          </xdr:txBody>
        </xdr:sp>
        <xdr:sp macro="" textlink="">
          <xdr:nvSpPr>
            <xdr:cNvPr id="1243" name="Ellipse 1242"/>
            <xdr:cNvSpPr/>
          </xdr:nvSpPr>
          <xdr:spPr>
            <a:xfrm>
              <a:off x="990653" y="27620773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G</a:t>
              </a:r>
            </a:p>
          </xdr:txBody>
        </xdr:sp>
      </xdr:grpSp>
      <xdr:cxnSp macro="">
        <xdr:nvCxnSpPr>
          <xdr:cNvPr id="1248" name="Gewinkelte Verbindung 35"/>
          <xdr:cNvCxnSpPr>
            <a:stCxn id="1222" idx="6"/>
            <a:endCxn id="1239" idx="2"/>
          </xdr:cNvCxnSpPr>
        </xdr:nvCxnSpPr>
        <xdr:spPr>
          <a:xfrm>
            <a:off x="455071" y="27912427"/>
            <a:ext cx="168521" cy="23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1" name="Gewinkelte Verbindung 35"/>
          <xdr:cNvCxnSpPr>
            <a:stCxn id="1239" idx="6"/>
            <a:endCxn id="1242" idx="2"/>
          </xdr:cNvCxnSpPr>
        </xdr:nvCxnSpPr>
        <xdr:spPr>
          <a:xfrm>
            <a:off x="803592" y="27912450"/>
            <a:ext cx="173283" cy="1332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4" name="Gewinkelte Verbindung 35"/>
          <xdr:cNvCxnSpPr>
            <a:stCxn id="1237" idx="6"/>
            <a:endCxn id="1238" idx="2"/>
          </xdr:cNvCxnSpPr>
        </xdr:nvCxnSpPr>
        <xdr:spPr>
          <a:xfrm>
            <a:off x="455071" y="27660694"/>
            <a:ext cx="172603" cy="70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7" name="Gewinkelte Verbindung 35"/>
          <xdr:cNvCxnSpPr>
            <a:stCxn id="1239" idx="7"/>
            <a:endCxn id="1243" idx="3"/>
          </xdr:cNvCxnSpPr>
        </xdr:nvCxnSpPr>
        <xdr:spPr>
          <a:xfrm rot="5400000" flipH="1" flipV="1">
            <a:off x="854030" y="27699606"/>
            <a:ext cx="72406" cy="226003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0" name="Gewinkelte Verbindung 35"/>
          <xdr:cNvCxnSpPr>
            <a:stCxn id="1242" idx="6"/>
            <a:endCxn id="1243" idx="6"/>
          </xdr:cNvCxnSpPr>
        </xdr:nvCxnSpPr>
        <xdr:spPr>
          <a:xfrm flipV="1">
            <a:off x="1156875" y="27712764"/>
            <a:ext cx="1588" cy="201018"/>
          </a:xfrm>
          <a:prstGeom prst="curvedConnector3">
            <a:avLst>
              <a:gd name="adj1" fmla="val 3506613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4" name="Gewinkelte Verbindung 35"/>
          <xdr:cNvCxnSpPr>
            <a:stCxn id="1236" idx="6"/>
            <a:endCxn id="1235" idx="6"/>
          </xdr:cNvCxnSpPr>
        </xdr:nvCxnSpPr>
        <xdr:spPr>
          <a:xfrm>
            <a:off x="1156875" y="27253890"/>
            <a:ext cx="1588" cy="197616"/>
          </a:xfrm>
          <a:prstGeom prst="curvedConnector3">
            <a:avLst>
              <a:gd name="adj1" fmla="val 3691185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8" name="Gewinkelte Verbindung 35"/>
          <xdr:cNvCxnSpPr>
            <a:stCxn id="1214" idx="6"/>
            <a:endCxn id="1221" idx="2"/>
          </xdr:cNvCxnSpPr>
        </xdr:nvCxnSpPr>
        <xdr:spPr>
          <a:xfrm>
            <a:off x="455071" y="27408960"/>
            <a:ext cx="173283" cy="1386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1" name="Gewinkelte Verbindung 35"/>
          <xdr:cNvCxnSpPr>
            <a:stCxn id="1221" idx="7"/>
            <a:endCxn id="1236" idx="2"/>
          </xdr:cNvCxnSpPr>
        </xdr:nvCxnSpPr>
        <xdr:spPr>
          <a:xfrm rot="5400000" flipH="1" flipV="1">
            <a:off x="833026" y="27202858"/>
            <a:ext cx="92816" cy="194881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4" name="Gewinkelte Verbindung 35"/>
          <xdr:cNvCxnSpPr>
            <a:stCxn id="1221" idx="6"/>
            <a:endCxn id="1235" idx="2"/>
          </xdr:cNvCxnSpPr>
        </xdr:nvCxnSpPr>
        <xdr:spPr>
          <a:xfrm>
            <a:off x="808354" y="27410346"/>
            <a:ext cx="168521" cy="41160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0" name="Gewinkelte Verbindung 35"/>
          <xdr:cNvCxnSpPr>
            <a:stCxn id="1235" idx="3"/>
            <a:endCxn id="1238" idx="7"/>
          </xdr:cNvCxnSpPr>
        </xdr:nvCxnSpPr>
        <xdr:spPr>
          <a:xfrm rot="5400000">
            <a:off x="850969" y="27445492"/>
            <a:ext cx="82612" cy="221921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3" name="Gewinkelte Verbindung 35"/>
          <xdr:cNvCxnSpPr>
            <a:stCxn id="1243" idx="2"/>
            <a:endCxn id="1238" idx="6"/>
          </xdr:cNvCxnSpPr>
        </xdr:nvCxnSpPr>
        <xdr:spPr>
          <a:xfrm rot="10800000">
            <a:off x="807675" y="27661398"/>
            <a:ext cx="169201" cy="51366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6" name="Gewinkelte Verbindung 35"/>
          <xdr:cNvCxnSpPr>
            <a:stCxn id="1238" idx="1"/>
            <a:endCxn id="1214" idx="5"/>
          </xdr:cNvCxnSpPr>
        </xdr:nvCxnSpPr>
        <xdr:spPr>
          <a:xfrm rot="16200000" flipV="1">
            <a:off x="476948" y="27420672"/>
            <a:ext cx="125158" cy="22901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205864</xdr:colOff>
      <xdr:row>43</xdr:row>
      <xdr:rowOff>82902</xdr:rowOff>
    </xdr:from>
    <xdr:to>
      <xdr:col>1</xdr:col>
      <xdr:colOff>786164</xdr:colOff>
      <xdr:row>43</xdr:row>
      <xdr:rowOff>513544</xdr:rowOff>
    </xdr:to>
    <xdr:grpSp>
      <xdr:nvGrpSpPr>
        <xdr:cNvPr id="1311" name="Gruppieren 1310"/>
        <xdr:cNvGrpSpPr/>
      </xdr:nvGrpSpPr>
      <xdr:grpSpPr>
        <a:xfrm>
          <a:off x="424736" y="22772668"/>
          <a:ext cx="580300" cy="430642"/>
          <a:chOff x="424736" y="22188776"/>
          <a:chExt cx="580300" cy="431106"/>
        </a:xfrm>
      </xdr:grpSpPr>
      <xdr:grpSp>
        <xdr:nvGrpSpPr>
          <xdr:cNvPr id="1302" name="Gruppieren 1007"/>
          <xdr:cNvGrpSpPr/>
        </xdr:nvGrpSpPr>
        <xdr:grpSpPr>
          <a:xfrm>
            <a:off x="424736" y="22189008"/>
            <a:ext cx="205201" cy="430642"/>
            <a:chOff x="367176" y="21617962"/>
            <a:chExt cx="205201" cy="430642"/>
          </a:xfrm>
        </xdr:grpSpPr>
        <xdr:sp macro="" textlink="">
          <xdr:nvSpPr>
            <xdr:cNvPr id="1306" name="Ellipse 1305"/>
            <xdr:cNvSpPr/>
          </xdr:nvSpPr>
          <xdr:spPr>
            <a:xfrm>
              <a:off x="367177" y="21617962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A1</a:t>
              </a:r>
            </a:p>
          </xdr:txBody>
        </xdr:sp>
        <xdr:sp macro="" textlink="">
          <xdr:nvSpPr>
            <xdr:cNvPr id="1307" name="Ellipse 1306"/>
            <xdr:cNvSpPr/>
          </xdr:nvSpPr>
          <xdr:spPr>
            <a:xfrm>
              <a:off x="367176" y="21868604"/>
              <a:ext cx="205200" cy="180000"/>
            </a:xfrm>
            <a:prstGeom prst="ellipse">
              <a:avLst/>
            </a:prstGeom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A2</a:t>
              </a:r>
            </a:p>
          </xdr:txBody>
        </xdr:sp>
      </xdr:grpSp>
      <xdr:cxnSp macro="">
        <xdr:nvCxnSpPr>
          <xdr:cNvPr id="1303" name="Gewinkelte Verbindung 35"/>
          <xdr:cNvCxnSpPr>
            <a:stCxn id="1306" idx="6"/>
            <a:endCxn id="1304" idx="1"/>
          </xdr:cNvCxnSpPr>
        </xdr:nvCxnSpPr>
        <xdr:spPr>
          <a:xfrm>
            <a:off x="629937" y="22279008"/>
            <a:ext cx="221459" cy="61681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4" name="Ellipse 1303"/>
          <xdr:cNvSpPr/>
        </xdr:nvSpPr>
        <xdr:spPr>
          <a:xfrm>
            <a:off x="825036" y="22314329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1305" name="Gewinkelte Verbindung 35"/>
          <xdr:cNvCxnSpPr>
            <a:stCxn id="1307" idx="6"/>
            <a:endCxn id="1304" idx="3"/>
          </xdr:cNvCxnSpPr>
        </xdr:nvCxnSpPr>
        <xdr:spPr>
          <a:xfrm flipV="1">
            <a:off x="629936" y="22467969"/>
            <a:ext cx="221460" cy="61681"/>
          </a:xfrm>
          <a:prstGeom prst="curvedConnector2">
            <a:avLst/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204439</xdr:colOff>
      <xdr:row>46</xdr:row>
      <xdr:rowOff>83634</xdr:rowOff>
    </xdr:from>
    <xdr:to>
      <xdr:col>1</xdr:col>
      <xdr:colOff>785386</xdr:colOff>
      <xdr:row>46</xdr:row>
      <xdr:rowOff>514740</xdr:rowOff>
    </xdr:to>
    <xdr:grpSp>
      <xdr:nvGrpSpPr>
        <xdr:cNvPr id="1324" name="Gruppieren 1323"/>
        <xdr:cNvGrpSpPr/>
      </xdr:nvGrpSpPr>
      <xdr:grpSpPr>
        <a:xfrm>
          <a:off x="423311" y="24487900"/>
          <a:ext cx="580947" cy="431106"/>
          <a:chOff x="423311" y="23904240"/>
          <a:chExt cx="580947" cy="431106"/>
        </a:xfrm>
      </xdr:grpSpPr>
      <xdr:grpSp>
        <xdr:nvGrpSpPr>
          <xdr:cNvPr id="1312" name="Gruppieren 1311"/>
          <xdr:cNvGrpSpPr/>
        </xdr:nvGrpSpPr>
        <xdr:grpSpPr>
          <a:xfrm>
            <a:off x="423311" y="23904240"/>
            <a:ext cx="580947" cy="431106"/>
            <a:chOff x="379573" y="22188908"/>
            <a:chExt cx="580947" cy="431106"/>
          </a:xfrm>
        </xdr:grpSpPr>
        <xdr:grpSp>
          <xdr:nvGrpSpPr>
            <xdr:cNvPr id="1313" name="Gruppieren 1007"/>
            <xdr:cNvGrpSpPr/>
          </xdr:nvGrpSpPr>
          <xdr:grpSpPr>
            <a:xfrm>
              <a:off x="379573" y="22188908"/>
              <a:ext cx="205201" cy="430642"/>
              <a:chOff x="367176" y="21617962"/>
              <a:chExt cx="205201" cy="430642"/>
            </a:xfrm>
          </xdr:grpSpPr>
          <xdr:sp macro="" textlink="">
            <xdr:nvSpPr>
              <xdr:cNvPr id="1319" name="Ellipse 1318"/>
              <xdr:cNvSpPr/>
            </xdr:nvSpPr>
            <xdr:spPr>
              <a:xfrm>
                <a:off x="367177" y="21617962"/>
                <a:ext cx="2052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A1</a:t>
                </a:r>
              </a:p>
            </xdr:txBody>
          </xdr:sp>
          <xdr:sp macro="" textlink="">
            <xdr:nvSpPr>
              <xdr:cNvPr id="1320" name="Ellipse 1319"/>
              <xdr:cNvSpPr/>
            </xdr:nvSpPr>
            <xdr:spPr>
              <a:xfrm>
                <a:off x="367176" y="21868604"/>
                <a:ext cx="2052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A2</a:t>
                </a:r>
              </a:p>
            </xdr:txBody>
          </xdr:sp>
        </xdr:grpSp>
        <xdr:cxnSp macro="">
          <xdr:nvCxnSpPr>
            <xdr:cNvPr id="1314" name="Gewinkelte Verbindung 35"/>
            <xdr:cNvCxnSpPr>
              <a:stCxn id="1319" idx="6"/>
              <a:endCxn id="1318" idx="2"/>
            </xdr:cNvCxnSpPr>
          </xdr:nvCxnSpPr>
          <xdr:spPr>
            <a:xfrm>
              <a:off x="584774" y="22278908"/>
              <a:ext cx="195746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15" name="Gewinkelte Verbindung 35"/>
            <xdr:cNvCxnSpPr>
              <a:stCxn id="1320" idx="6"/>
              <a:endCxn id="1317" idx="2"/>
            </xdr:cNvCxnSpPr>
          </xdr:nvCxnSpPr>
          <xdr:spPr>
            <a:xfrm>
              <a:off x="584773" y="22529550"/>
              <a:ext cx="195747" cy="464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316" name="Gruppieren 1024"/>
            <xdr:cNvGrpSpPr/>
          </xdr:nvGrpSpPr>
          <xdr:grpSpPr>
            <a:xfrm>
              <a:off x="780520" y="22188908"/>
              <a:ext cx="180000" cy="431106"/>
              <a:chOff x="780520" y="22188908"/>
              <a:chExt cx="180000" cy="431106"/>
            </a:xfrm>
          </xdr:grpSpPr>
          <xdr:sp macro="" textlink="">
            <xdr:nvSpPr>
              <xdr:cNvPr id="1317" name="Ellipse 1316"/>
              <xdr:cNvSpPr/>
            </xdr:nvSpPr>
            <xdr:spPr>
              <a:xfrm>
                <a:off x="780520" y="22440014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C</a:t>
                </a:r>
              </a:p>
            </xdr:txBody>
          </xdr:sp>
          <xdr:sp macro="" textlink="">
            <xdr:nvSpPr>
              <xdr:cNvPr id="1318" name="Ellipse 1317"/>
              <xdr:cNvSpPr/>
            </xdr:nvSpPr>
            <xdr:spPr>
              <a:xfrm>
                <a:off x="780520" y="22188908"/>
                <a:ext cx="180000" cy="180000"/>
              </a:xfrm>
              <a:prstGeom prst="ellipse">
                <a:avLst/>
              </a:prstGeom>
              <a:effectLst/>
            </xdr:spPr>
            <xdr:style>
              <a:lnRef idx="1">
                <a:schemeClr val="accent1"/>
              </a:lnRef>
              <a:fillRef idx="2">
                <a:schemeClr val="accent1"/>
              </a:fillRef>
              <a:effectRef idx="1">
                <a:schemeClr val="accent1"/>
              </a:effectRef>
              <a:fontRef idx="minor">
                <a:schemeClr val="dk1"/>
              </a:fontRef>
            </xdr:style>
            <xdr:txBody>
              <a:bodyPr vertOverflow="clip" lIns="0" tIns="0" rIns="0" bIns="0" rtlCol="0" anchor="ctr"/>
              <a:lstStyle/>
              <a:p>
                <a:pPr algn="ctr"/>
                <a:r>
                  <a:rPr lang="de-DE" sz="1050" b="0"/>
                  <a:t>B</a:t>
                </a:r>
              </a:p>
            </xdr:txBody>
          </xdr:sp>
        </xdr:grpSp>
      </xdr:grpSp>
      <xdr:cxnSp macro="">
        <xdr:nvCxnSpPr>
          <xdr:cNvPr id="1321" name="Gewinkelte Verbindung 35"/>
          <xdr:cNvCxnSpPr>
            <a:stCxn id="1318" idx="3"/>
            <a:endCxn id="1320" idx="7"/>
          </xdr:cNvCxnSpPr>
        </xdr:nvCxnSpPr>
        <xdr:spPr>
          <a:xfrm rot="5400000">
            <a:off x="662858" y="23993482"/>
            <a:ext cx="123362" cy="25215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500676</xdr:colOff>
      <xdr:row>53</xdr:row>
      <xdr:rowOff>118942</xdr:rowOff>
    </xdr:from>
    <xdr:to>
      <xdr:col>1</xdr:col>
      <xdr:colOff>785557</xdr:colOff>
      <xdr:row>53</xdr:row>
      <xdr:rowOff>249038</xdr:rowOff>
    </xdr:to>
    <xdr:cxnSp macro="">
      <xdr:nvCxnSpPr>
        <xdr:cNvPr id="517" name="Gewinkelte Verbindung 35"/>
        <xdr:cNvCxnSpPr>
          <a:stCxn id="1236" idx="1"/>
          <a:endCxn id="1221" idx="0"/>
        </xdr:cNvCxnSpPr>
      </xdr:nvCxnSpPr>
      <xdr:spPr>
        <a:xfrm rot="16200000" flipH="1" flipV="1">
          <a:off x="816194" y="28538308"/>
          <a:ext cx="130096" cy="284881"/>
        </a:xfrm>
        <a:prstGeom prst="curvedConnector3">
          <a:avLst>
            <a:gd name="adj1" fmla="val 134"/>
          </a:avLst>
        </a:prstGeom>
        <a:ln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187369</xdr:colOff>
      <xdr:row>52</xdr:row>
      <xdr:rowOff>557734</xdr:rowOff>
    </xdr:from>
    <xdr:to>
      <xdr:col>1</xdr:col>
      <xdr:colOff>825268</xdr:colOff>
      <xdr:row>52</xdr:row>
      <xdr:rowOff>787844</xdr:rowOff>
    </xdr:to>
    <xdr:cxnSp macro="">
      <xdr:nvCxnSpPr>
        <xdr:cNvPr id="523" name="Gewinkelte Verbindung 35"/>
        <xdr:cNvCxnSpPr>
          <a:stCxn id="1184" idx="1"/>
          <a:endCxn id="1168" idx="4"/>
        </xdr:cNvCxnSpPr>
      </xdr:nvCxnSpPr>
      <xdr:spPr>
        <a:xfrm rot="16200000" flipV="1">
          <a:off x="610823" y="27902076"/>
          <a:ext cx="230110" cy="637899"/>
        </a:xfrm>
        <a:prstGeom prst="curvedConnector3">
          <a:avLst>
            <a:gd name="adj1" fmla="val 34565"/>
          </a:avLst>
        </a:prstGeom>
        <a:ln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71033</xdr:colOff>
      <xdr:row>52</xdr:row>
      <xdr:rowOff>147042</xdr:rowOff>
    </xdr:from>
    <xdr:to>
      <xdr:col>1</xdr:col>
      <xdr:colOff>81894</xdr:colOff>
      <xdr:row>52</xdr:row>
      <xdr:rowOff>848857</xdr:rowOff>
    </xdr:to>
    <xdr:cxnSp macro="">
      <xdr:nvCxnSpPr>
        <xdr:cNvPr id="528" name="Gewinkelte Verbindung 35"/>
        <xdr:cNvCxnSpPr>
          <a:stCxn id="1167" idx="2"/>
          <a:endCxn id="1169" idx="2"/>
        </xdr:cNvCxnSpPr>
      </xdr:nvCxnSpPr>
      <xdr:spPr>
        <a:xfrm rot="10800000" flipH="1" flipV="1">
          <a:off x="290592" y="27695279"/>
          <a:ext cx="10861" cy="701815"/>
        </a:xfrm>
        <a:prstGeom prst="curvedConnector3">
          <a:avLst>
            <a:gd name="adj1" fmla="val -469708"/>
          </a:avLst>
        </a:prstGeom>
        <a:ln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586259</xdr:colOff>
      <xdr:row>4</xdr:row>
      <xdr:rowOff>114300</xdr:rowOff>
    </xdr:from>
    <xdr:to>
      <xdr:col>24</xdr:col>
      <xdr:colOff>766259</xdr:colOff>
      <xdr:row>4</xdr:row>
      <xdr:rowOff>294300</xdr:rowOff>
    </xdr:to>
    <xdr:sp macro="" textlink="">
      <xdr:nvSpPr>
        <xdr:cNvPr id="522" name="Ellipse 521"/>
        <xdr:cNvSpPr/>
      </xdr:nvSpPr>
      <xdr:spPr>
        <a:xfrm>
          <a:off x="13623085" y="1439517"/>
          <a:ext cx="180000" cy="180000"/>
        </a:xfrm>
        <a:prstGeom prst="ellipse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de-DE" sz="1050" b="0"/>
            <a:t>A</a:t>
          </a:r>
        </a:p>
      </xdr:txBody>
    </xdr:sp>
    <xdr:clientData/>
  </xdr:twoCellAnchor>
  <xdr:twoCellAnchor>
    <xdr:from>
      <xdr:col>24</xdr:col>
      <xdr:colOff>586259</xdr:colOff>
      <xdr:row>5</xdr:row>
      <xdr:rowOff>154123</xdr:rowOff>
    </xdr:from>
    <xdr:to>
      <xdr:col>24</xdr:col>
      <xdr:colOff>766259</xdr:colOff>
      <xdr:row>5</xdr:row>
      <xdr:rowOff>334123</xdr:rowOff>
    </xdr:to>
    <xdr:grpSp>
      <xdr:nvGrpSpPr>
        <xdr:cNvPr id="736" name="Gruppieren 735"/>
        <xdr:cNvGrpSpPr/>
      </xdr:nvGrpSpPr>
      <xdr:grpSpPr>
        <a:xfrm>
          <a:off x="13678068" y="1868623"/>
          <a:ext cx="180000" cy="180000"/>
          <a:chOff x="13519219" y="1868623"/>
          <a:chExt cx="180000" cy="180000"/>
        </a:xfrm>
      </xdr:grpSpPr>
      <xdr:sp macro="" textlink="">
        <xdr:nvSpPr>
          <xdr:cNvPr id="525" name="Ellipse 524"/>
          <xdr:cNvSpPr/>
        </xdr:nvSpPr>
        <xdr:spPr>
          <a:xfrm>
            <a:off x="13519219" y="1868623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526" name="Gewinkelte Verbindung 35"/>
          <xdr:cNvCxnSpPr>
            <a:stCxn id="525" idx="1"/>
            <a:endCxn id="525" idx="7"/>
          </xdr:cNvCxnSpPr>
        </xdr:nvCxnSpPr>
        <xdr:spPr>
          <a:xfrm rot="5400000" flipH="1" flipV="1">
            <a:off x="13609219" y="1831343"/>
            <a:ext cx="1588" cy="127280"/>
          </a:xfrm>
          <a:prstGeom prst="curvedConnector3">
            <a:avLst>
              <a:gd name="adj1" fmla="val 8155481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</xdr:grpSp>
    <xdr:clientData/>
  </xdr:twoCellAnchor>
  <xdr:twoCellAnchor>
    <xdr:from>
      <xdr:col>24</xdr:col>
      <xdr:colOff>382285</xdr:colOff>
      <xdr:row>6</xdr:row>
      <xdr:rowOff>121599</xdr:rowOff>
    </xdr:from>
    <xdr:to>
      <xdr:col>24</xdr:col>
      <xdr:colOff>970233</xdr:colOff>
      <xdr:row>6</xdr:row>
      <xdr:rowOff>302528</xdr:rowOff>
    </xdr:to>
    <xdr:grpSp>
      <xdr:nvGrpSpPr>
        <xdr:cNvPr id="733" name="Gruppieren 732"/>
        <xdr:cNvGrpSpPr/>
      </xdr:nvGrpSpPr>
      <xdr:grpSpPr>
        <a:xfrm>
          <a:off x="13474094" y="2217099"/>
          <a:ext cx="587948" cy="180929"/>
          <a:chOff x="13315245" y="2217099"/>
          <a:chExt cx="587948" cy="180929"/>
        </a:xfrm>
      </xdr:grpSpPr>
      <xdr:sp macro="" textlink="">
        <xdr:nvSpPr>
          <xdr:cNvPr id="529" name="Ellipse 528"/>
          <xdr:cNvSpPr/>
        </xdr:nvSpPr>
        <xdr:spPr>
          <a:xfrm>
            <a:off x="13315245" y="221802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sp macro="" textlink="">
        <xdr:nvSpPr>
          <xdr:cNvPr id="530" name="Ellipse 529"/>
          <xdr:cNvSpPr/>
        </xdr:nvSpPr>
        <xdr:spPr>
          <a:xfrm>
            <a:off x="13723193" y="2217099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531" name="Gewinkelte Verbindung 35"/>
          <xdr:cNvCxnSpPr>
            <a:stCxn id="529" idx="6"/>
            <a:endCxn id="530" idx="2"/>
          </xdr:cNvCxnSpPr>
        </xdr:nvCxnSpPr>
        <xdr:spPr>
          <a:xfrm flipV="1">
            <a:off x="13495245" y="2307099"/>
            <a:ext cx="227948" cy="929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</xdr:grpSp>
    <xdr:clientData/>
  </xdr:twoCellAnchor>
  <xdr:twoCellAnchor>
    <xdr:from>
      <xdr:col>24</xdr:col>
      <xdr:colOff>382285</xdr:colOff>
      <xdr:row>7</xdr:row>
      <xdr:rowOff>116256</xdr:rowOff>
    </xdr:from>
    <xdr:to>
      <xdr:col>24</xdr:col>
      <xdr:colOff>970233</xdr:colOff>
      <xdr:row>7</xdr:row>
      <xdr:rowOff>297185</xdr:rowOff>
    </xdr:to>
    <xdr:grpSp>
      <xdr:nvGrpSpPr>
        <xdr:cNvPr id="725" name="Gruppieren 724"/>
        <xdr:cNvGrpSpPr/>
      </xdr:nvGrpSpPr>
      <xdr:grpSpPr>
        <a:xfrm>
          <a:off x="13474094" y="2592756"/>
          <a:ext cx="587948" cy="180929"/>
          <a:chOff x="13315245" y="2592756"/>
          <a:chExt cx="587948" cy="180929"/>
        </a:xfrm>
      </xdr:grpSpPr>
      <xdr:sp macro="" textlink="">
        <xdr:nvSpPr>
          <xdr:cNvPr id="533" name="Ellipse 532"/>
          <xdr:cNvSpPr/>
        </xdr:nvSpPr>
        <xdr:spPr>
          <a:xfrm>
            <a:off x="13315245" y="2593685"/>
            <a:ext cx="180000" cy="180000"/>
          </a:xfrm>
          <a:prstGeom prst="ellipse">
            <a:avLst/>
          </a:prstGeom>
          <a:ln>
            <a:tailEnd type="triangle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534" name="Gewinkelte Verbindung 35"/>
          <xdr:cNvCxnSpPr>
            <a:stCxn id="535" idx="3"/>
            <a:endCxn id="533" idx="5"/>
          </xdr:cNvCxnSpPr>
        </xdr:nvCxnSpPr>
        <xdr:spPr>
          <a:xfrm rot="5400000">
            <a:off x="13608755" y="2606526"/>
            <a:ext cx="929" cy="280668"/>
          </a:xfrm>
          <a:prstGeom prst="curvedConnector3">
            <a:avLst>
              <a:gd name="adj1" fmla="val 5447257"/>
            </a:avLst>
          </a:prstGeom>
          <a:ln>
            <a:headEnd type="triangle" w="sm" len="sm"/>
            <a:tailEnd type="non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535" name="Ellipse 534"/>
          <xdr:cNvSpPr/>
        </xdr:nvSpPr>
        <xdr:spPr>
          <a:xfrm>
            <a:off x="13723193" y="2592756"/>
            <a:ext cx="180000" cy="180000"/>
          </a:xfrm>
          <a:prstGeom prst="ellipse">
            <a:avLst/>
          </a:prstGeom>
          <a:ln>
            <a:tailEnd type="triangle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537" name="Gewinkelte Verbindung 35"/>
          <xdr:cNvCxnSpPr>
            <a:stCxn id="533" idx="7"/>
            <a:endCxn id="535" idx="1"/>
          </xdr:cNvCxnSpPr>
        </xdr:nvCxnSpPr>
        <xdr:spPr>
          <a:xfrm rot="5400000" flipH="1" flipV="1">
            <a:off x="13608755" y="2479247"/>
            <a:ext cx="929" cy="280668"/>
          </a:xfrm>
          <a:prstGeom prst="curvedConnector3">
            <a:avLst>
              <a:gd name="adj1" fmla="val 7379765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</xdr:grpSp>
    <xdr:clientData/>
  </xdr:twoCellAnchor>
  <xdr:twoCellAnchor>
    <xdr:from>
      <xdr:col>24</xdr:col>
      <xdr:colOff>395144</xdr:colOff>
      <xdr:row>11</xdr:row>
      <xdr:rowOff>91734</xdr:rowOff>
    </xdr:from>
    <xdr:to>
      <xdr:col>24</xdr:col>
      <xdr:colOff>957374</xdr:colOff>
      <xdr:row>12</xdr:row>
      <xdr:rowOff>320619</xdr:rowOff>
    </xdr:to>
    <xdr:grpSp>
      <xdr:nvGrpSpPr>
        <xdr:cNvPr id="587" name="Gruppieren 586"/>
        <xdr:cNvGrpSpPr/>
      </xdr:nvGrpSpPr>
      <xdr:grpSpPr>
        <a:xfrm>
          <a:off x="13486953" y="4092234"/>
          <a:ext cx="562230" cy="609885"/>
          <a:chOff x="248232" y="11430129"/>
          <a:chExt cx="562230" cy="609885"/>
        </a:xfrm>
        <a:effectLst/>
      </xdr:grpSpPr>
      <xdr:sp macro="" textlink="">
        <xdr:nvSpPr>
          <xdr:cNvPr id="588" name="Ellipse 587"/>
          <xdr:cNvSpPr/>
        </xdr:nvSpPr>
        <xdr:spPr>
          <a:xfrm>
            <a:off x="248232" y="1164475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sp macro="" textlink="">
        <xdr:nvSpPr>
          <xdr:cNvPr id="589" name="Ellipse 588"/>
          <xdr:cNvSpPr/>
        </xdr:nvSpPr>
        <xdr:spPr>
          <a:xfrm>
            <a:off x="628779" y="11644758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590" name="Gewinkelte Verbindung 35"/>
          <xdr:cNvCxnSpPr>
            <a:stCxn id="588" idx="6"/>
            <a:endCxn id="589" idx="2"/>
          </xdr:cNvCxnSpPr>
        </xdr:nvCxnSpPr>
        <xdr:spPr>
          <a:xfrm>
            <a:off x="428232" y="11734758"/>
            <a:ext cx="200547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591" name="Ellipse 590"/>
          <xdr:cNvSpPr/>
        </xdr:nvSpPr>
        <xdr:spPr>
          <a:xfrm>
            <a:off x="628327" y="11860014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cxnSp macro="">
        <xdr:nvCxnSpPr>
          <xdr:cNvPr id="592" name="Gewinkelte Verbindung 35"/>
          <xdr:cNvCxnSpPr>
            <a:stCxn id="588" idx="5"/>
            <a:endCxn id="591" idx="2"/>
          </xdr:cNvCxnSpPr>
        </xdr:nvCxnSpPr>
        <xdr:spPr>
          <a:xfrm rot="16200000" flipH="1">
            <a:off x="439291" y="11760978"/>
            <a:ext cx="151616" cy="226455"/>
          </a:xfrm>
          <a:prstGeom prst="curvedConnector2">
            <a:avLst/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593" name="Ellipse 592"/>
          <xdr:cNvSpPr/>
        </xdr:nvSpPr>
        <xdr:spPr>
          <a:xfrm>
            <a:off x="624607" y="11430129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D</a:t>
            </a:r>
          </a:p>
        </xdr:txBody>
      </xdr:sp>
      <xdr:cxnSp macro="">
        <xdr:nvCxnSpPr>
          <xdr:cNvPr id="594" name="Gewinkelte Verbindung 35"/>
          <xdr:cNvCxnSpPr>
            <a:stCxn id="588" idx="7"/>
            <a:endCxn id="593" idx="2"/>
          </xdr:cNvCxnSpPr>
        </xdr:nvCxnSpPr>
        <xdr:spPr>
          <a:xfrm rot="5400000" flipH="1" flipV="1">
            <a:off x="437745" y="11484257"/>
            <a:ext cx="150989" cy="222735"/>
          </a:xfrm>
          <a:prstGeom prst="curvedConnector2">
            <a:avLst/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</xdr:grpSp>
    <xdr:clientData/>
  </xdr:twoCellAnchor>
  <xdr:twoCellAnchor>
    <xdr:from>
      <xdr:col>24</xdr:col>
      <xdr:colOff>204111</xdr:colOff>
      <xdr:row>13</xdr:row>
      <xdr:rowOff>72643</xdr:rowOff>
    </xdr:from>
    <xdr:to>
      <xdr:col>24</xdr:col>
      <xdr:colOff>1148407</xdr:colOff>
      <xdr:row>14</xdr:row>
      <xdr:rowOff>301528</xdr:rowOff>
    </xdr:to>
    <xdr:grpSp>
      <xdr:nvGrpSpPr>
        <xdr:cNvPr id="595" name="Gruppieren 594"/>
        <xdr:cNvGrpSpPr/>
      </xdr:nvGrpSpPr>
      <xdr:grpSpPr>
        <a:xfrm>
          <a:off x="13295920" y="4835143"/>
          <a:ext cx="944296" cy="609885"/>
          <a:chOff x="247375" y="13039378"/>
          <a:chExt cx="944296" cy="609885"/>
        </a:xfrm>
        <a:effectLst/>
      </xdr:grpSpPr>
      <xdr:grpSp>
        <xdr:nvGrpSpPr>
          <xdr:cNvPr id="596" name="Gruppieren 428"/>
          <xdr:cNvGrpSpPr/>
        </xdr:nvGrpSpPr>
        <xdr:grpSpPr>
          <a:xfrm>
            <a:off x="247375" y="13039378"/>
            <a:ext cx="562230" cy="609885"/>
            <a:chOff x="248232" y="11430129"/>
            <a:chExt cx="562230" cy="609885"/>
          </a:xfrm>
        </xdr:grpSpPr>
        <xdr:sp macro="" textlink="">
          <xdr:nvSpPr>
            <xdr:cNvPr id="617" name="Ellipse 616"/>
            <xdr:cNvSpPr/>
          </xdr:nvSpPr>
          <xdr:spPr>
            <a:xfrm>
              <a:off x="248232" y="1164475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  <xdr:sp macro="" textlink="">
          <xdr:nvSpPr>
            <xdr:cNvPr id="618" name="Ellipse 617"/>
            <xdr:cNvSpPr/>
          </xdr:nvSpPr>
          <xdr:spPr>
            <a:xfrm>
              <a:off x="628779" y="11644758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E</a:t>
              </a:r>
            </a:p>
          </xdr:txBody>
        </xdr:sp>
        <xdr:cxnSp macro="">
          <xdr:nvCxnSpPr>
            <xdr:cNvPr id="619" name="Gewinkelte Verbindung 35"/>
            <xdr:cNvCxnSpPr>
              <a:stCxn id="617" idx="6"/>
              <a:endCxn id="618" idx="2"/>
            </xdr:cNvCxnSpPr>
          </xdr:nvCxnSpPr>
          <xdr:spPr>
            <a:xfrm>
              <a:off x="428232" y="11734758"/>
              <a:ext cx="200547" cy="1588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</xdr:cxnSp>
        <xdr:sp macro="" textlink="">
          <xdr:nvSpPr>
            <xdr:cNvPr id="620" name="Ellipse 619"/>
            <xdr:cNvSpPr/>
          </xdr:nvSpPr>
          <xdr:spPr>
            <a:xfrm>
              <a:off x="628327" y="11860014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  <xdr:cxnSp macro="">
          <xdr:nvCxnSpPr>
            <xdr:cNvPr id="622" name="Gewinkelte Verbindung 35"/>
            <xdr:cNvCxnSpPr>
              <a:stCxn id="617" idx="5"/>
              <a:endCxn id="620" idx="2"/>
            </xdr:cNvCxnSpPr>
          </xdr:nvCxnSpPr>
          <xdr:spPr>
            <a:xfrm rot="16200000" flipH="1">
              <a:off x="439291" y="11760978"/>
              <a:ext cx="151616" cy="226455"/>
            </a:xfrm>
            <a:prstGeom prst="curvedConnector2">
              <a:avLst/>
            </a:prstGeom>
            <a:ln>
              <a:tailEnd type="triangle" w="sm" len="sm"/>
            </a:ln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</xdr:cxnSp>
        <xdr:sp macro="" textlink="">
          <xdr:nvSpPr>
            <xdr:cNvPr id="623" name="Ellipse 622"/>
            <xdr:cNvSpPr/>
          </xdr:nvSpPr>
          <xdr:spPr>
            <a:xfrm>
              <a:off x="624607" y="11430129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C</a:t>
              </a:r>
            </a:p>
          </xdr:txBody>
        </xdr:sp>
        <xdr:cxnSp macro="">
          <xdr:nvCxnSpPr>
            <xdr:cNvPr id="624" name="Gewinkelte Verbindung 35"/>
            <xdr:cNvCxnSpPr>
              <a:stCxn id="617" idx="7"/>
              <a:endCxn id="623" idx="2"/>
            </xdr:cNvCxnSpPr>
          </xdr:nvCxnSpPr>
          <xdr:spPr>
            <a:xfrm rot="5400000" flipH="1" flipV="1">
              <a:off x="437745" y="11484257"/>
              <a:ext cx="150989" cy="222735"/>
            </a:xfrm>
            <a:prstGeom prst="curvedConnector2">
              <a:avLst/>
            </a:prstGeom>
            <a:ln>
              <a:tailEnd type="triangle" w="sm" len="sm"/>
            </a:ln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</xdr:cxnSp>
      </xdr:grpSp>
      <xdr:grpSp>
        <xdr:nvGrpSpPr>
          <xdr:cNvPr id="597" name="Gruppieren 109"/>
          <xdr:cNvGrpSpPr/>
        </xdr:nvGrpSpPr>
        <xdr:grpSpPr>
          <a:xfrm>
            <a:off x="807922" y="13254853"/>
            <a:ext cx="383749" cy="180000"/>
            <a:chOff x="815121" y="2777915"/>
            <a:chExt cx="383749" cy="180000"/>
          </a:xfrm>
        </xdr:grpSpPr>
        <xdr:cxnSp macro="">
          <xdr:nvCxnSpPr>
            <xdr:cNvPr id="610" name="Gewinkelte Verbindung 35"/>
            <xdr:cNvCxnSpPr>
              <a:stCxn id="618" idx="6"/>
              <a:endCxn id="616" idx="2"/>
            </xdr:cNvCxnSpPr>
          </xdr:nvCxnSpPr>
          <xdr:spPr>
            <a:xfrm>
              <a:off x="815121" y="2867069"/>
              <a:ext cx="201614" cy="846"/>
            </a:xfrm>
            <a:prstGeom prst="curvedConnector3">
              <a:avLst>
                <a:gd name="adj1" fmla="val 50000"/>
              </a:avLst>
            </a:prstGeom>
            <a:ln>
              <a:tailEnd type="triangle" w="sm" len="sm"/>
            </a:ln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</xdr:cxnSp>
        <xdr:sp macro="" textlink="">
          <xdr:nvSpPr>
            <xdr:cNvPr id="616" name="Ellipse 615"/>
            <xdr:cNvSpPr/>
          </xdr:nvSpPr>
          <xdr:spPr>
            <a:xfrm>
              <a:off x="1016735" y="2777915"/>
              <a:ext cx="182135" cy="180000"/>
            </a:xfrm>
            <a:prstGeom prst="ellipse">
              <a:avLst/>
            </a:prstGeom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</xdr:grpSp>
      <xdr:cxnSp macro="">
        <xdr:nvCxnSpPr>
          <xdr:cNvPr id="598" name="Gewinkelte Verbindung 35"/>
          <xdr:cNvCxnSpPr>
            <a:stCxn id="623" idx="6"/>
            <a:endCxn id="616" idx="1"/>
          </xdr:cNvCxnSpPr>
        </xdr:nvCxnSpPr>
        <xdr:spPr>
          <a:xfrm>
            <a:off x="805885" y="13129378"/>
            <a:ext cx="230324" cy="151835"/>
          </a:xfrm>
          <a:prstGeom prst="curvedConnector2">
            <a:avLst/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599" name="Gewinkelte Verbindung 35"/>
          <xdr:cNvCxnSpPr>
            <a:stCxn id="620" idx="6"/>
            <a:endCxn id="616" idx="3"/>
          </xdr:cNvCxnSpPr>
        </xdr:nvCxnSpPr>
        <xdr:spPr>
          <a:xfrm flipV="1">
            <a:off x="809605" y="13408493"/>
            <a:ext cx="226604" cy="150770"/>
          </a:xfrm>
          <a:prstGeom prst="curvedConnector2">
            <a:avLst/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</xdr:grpSp>
    <xdr:clientData/>
  </xdr:twoCellAnchor>
  <xdr:twoCellAnchor>
    <xdr:from>
      <xdr:col>24</xdr:col>
      <xdr:colOff>204644</xdr:colOff>
      <xdr:row>8</xdr:row>
      <xdr:rowOff>305611</xdr:rowOff>
    </xdr:from>
    <xdr:to>
      <xdr:col>24</xdr:col>
      <xdr:colOff>1147874</xdr:colOff>
      <xdr:row>9</xdr:row>
      <xdr:rowOff>298992</xdr:rowOff>
    </xdr:to>
    <xdr:grpSp>
      <xdr:nvGrpSpPr>
        <xdr:cNvPr id="719" name="Gruppieren 718"/>
        <xdr:cNvGrpSpPr/>
      </xdr:nvGrpSpPr>
      <xdr:grpSpPr>
        <a:xfrm>
          <a:off x="13296453" y="3163111"/>
          <a:ext cx="943230" cy="374381"/>
          <a:chOff x="13140168" y="3163111"/>
          <a:chExt cx="943230" cy="374381"/>
        </a:xfrm>
      </xdr:grpSpPr>
      <xdr:sp macro="" textlink="">
        <xdr:nvSpPr>
          <xdr:cNvPr id="549" name="Ellipse 548"/>
          <xdr:cNvSpPr/>
        </xdr:nvSpPr>
        <xdr:spPr>
          <a:xfrm>
            <a:off x="13140168" y="3357492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sp macro="" textlink="">
        <xdr:nvSpPr>
          <xdr:cNvPr id="550" name="Ellipse 549"/>
          <xdr:cNvSpPr/>
        </xdr:nvSpPr>
        <xdr:spPr>
          <a:xfrm>
            <a:off x="13520715" y="3357492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cxnSp macro="">
        <xdr:nvCxnSpPr>
          <xdr:cNvPr id="551" name="Gewinkelte Verbindung 35"/>
          <xdr:cNvCxnSpPr>
            <a:stCxn id="549" idx="6"/>
            <a:endCxn id="550" idx="2"/>
          </xdr:cNvCxnSpPr>
        </xdr:nvCxnSpPr>
        <xdr:spPr>
          <a:xfrm>
            <a:off x="13320168" y="3447492"/>
            <a:ext cx="200547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552" name="Ellipse 551"/>
          <xdr:cNvSpPr/>
        </xdr:nvSpPr>
        <xdr:spPr>
          <a:xfrm>
            <a:off x="13901263" y="3357492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553" name="Gewinkelte Verbindung 35"/>
          <xdr:cNvCxnSpPr>
            <a:stCxn id="550" idx="6"/>
            <a:endCxn id="552" idx="2"/>
          </xdr:cNvCxnSpPr>
        </xdr:nvCxnSpPr>
        <xdr:spPr>
          <a:xfrm>
            <a:off x="13700715" y="3447492"/>
            <a:ext cx="200548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548" name="Gewinkelte Verbindung 35"/>
          <xdr:cNvCxnSpPr>
            <a:stCxn id="552" idx="0"/>
            <a:endCxn id="550" idx="0"/>
          </xdr:cNvCxnSpPr>
        </xdr:nvCxnSpPr>
        <xdr:spPr>
          <a:xfrm rot="16200000" flipV="1">
            <a:off x="13801523" y="3166684"/>
            <a:ext cx="1588" cy="381616"/>
          </a:xfrm>
          <a:prstGeom prst="curvedConnector3">
            <a:avLst>
              <a:gd name="adj1" fmla="val 4426765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827" name="Textfeld 826"/>
          <xdr:cNvSpPr txBox="1"/>
        </xdr:nvSpPr>
        <xdr:spPr>
          <a:xfrm>
            <a:off x="13680021" y="3163111"/>
            <a:ext cx="272761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de-DE" sz="1100" b="1">
                <a:solidFill>
                  <a:srgbClr val="FF0000"/>
                </a:solidFill>
              </a:rPr>
              <a:t>X</a:t>
            </a:r>
          </a:p>
        </xdr:txBody>
      </xdr:sp>
    </xdr:grpSp>
    <xdr:clientData/>
  </xdr:twoCellAnchor>
  <xdr:twoCellAnchor>
    <xdr:from>
      <xdr:col>24</xdr:col>
      <xdr:colOff>382285</xdr:colOff>
      <xdr:row>7</xdr:row>
      <xdr:rowOff>303927</xdr:rowOff>
    </xdr:from>
    <xdr:to>
      <xdr:col>24</xdr:col>
      <xdr:colOff>970233</xdr:colOff>
      <xdr:row>8</xdr:row>
      <xdr:rowOff>279928</xdr:rowOff>
    </xdr:to>
    <xdr:grpSp>
      <xdr:nvGrpSpPr>
        <xdr:cNvPr id="724" name="Gruppieren 723"/>
        <xdr:cNvGrpSpPr/>
      </xdr:nvGrpSpPr>
      <xdr:grpSpPr>
        <a:xfrm>
          <a:off x="13474094" y="2780427"/>
          <a:ext cx="587948" cy="357001"/>
          <a:chOff x="13315245" y="2780427"/>
          <a:chExt cx="587948" cy="357001"/>
        </a:xfrm>
      </xdr:grpSpPr>
      <xdr:sp macro="" textlink="">
        <xdr:nvSpPr>
          <xdr:cNvPr id="555" name="Ellipse 554"/>
          <xdr:cNvSpPr/>
        </xdr:nvSpPr>
        <xdr:spPr>
          <a:xfrm>
            <a:off x="13315245" y="2957428"/>
            <a:ext cx="180000" cy="180000"/>
          </a:xfrm>
          <a:prstGeom prst="ellipse">
            <a:avLst/>
          </a:prstGeom>
          <a:ln>
            <a:tailEnd type="triangle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556" name="Gewinkelte Verbindung 35"/>
          <xdr:cNvCxnSpPr>
            <a:stCxn id="557" idx="3"/>
            <a:endCxn id="555" idx="5"/>
          </xdr:cNvCxnSpPr>
        </xdr:nvCxnSpPr>
        <xdr:spPr>
          <a:xfrm rot="5400000">
            <a:off x="13608755" y="2970269"/>
            <a:ext cx="929" cy="280668"/>
          </a:xfrm>
          <a:prstGeom prst="curvedConnector3">
            <a:avLst>
              <a:gd name="adj1" fmla="val 5447257"/>
            </a:avLst>
          </a:prstGeom>
          <a:ln>
            <a:headEnd type="none" w="sm" len="sm"/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557" name="Ellipse 556"/>
          <xdr:cNvSpPr/>
        </xdr:nvSpPr>
        <xdr:spPr>
          <a:xfrm>
            <a:off x="13723193" y="2956499"/>
            <a:ext cx="180000" cy="180000"/>
          </a:xfrm>
          <a:prstGeom prst="ellipse">
            <a:avLst/>
          </a:prstGeom>
          <a:ln>
            <a:tailEnd type="triangle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558" name="Gewinkelte Verbindung 35"/>
          <xdr:cNvCxnSpPr>
            <a:stCxn id="555" idx="7"/>
            <a:endCxn id="557" idx="1"/>
          </xdr:cNvCxnSpPr>
        </xdr:nvCxnSpPr>
        <xdr:spPr>
          <a:xfrm rot="5400000" flipH="1" flipV="1">
            <a:off x="13608755" y="2842990"/>
            <a:ext cx="929" cy="280668"/>
          </a:xfrm>
          <a:prstGeom prst="curvedConnector3">
            <a:avLst>
              <a:gd name="adj1" fmla="val 7379765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829" name="Textfeld 828"/>
          <xdr:cNvSpPr txBox="1"/>
        </xdr:nvSpPr>
        <xdr:spPr>
          <a:xfrm>
            <a:off x="13483493" y="2780427"/>
            <a:ext cx="272761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de-DE" sz="1100" b="1">
                <a:solidFill>
                  <a:srgbClr val="FF0000"/>
                </a:solidFill>
              </a:rPr>
              <a:t>X</a:t>
            </a:r>
          </a:p>
        </xdr:txBody>
      </xdr:sp>
    </xdr:grpSp>
    <xdr:clientData/>
  </xdr:twoCellAnchor>
  <xdr:twoCellAnchor>
    <xdr:from>
      <xdr:col>24</xdr:col>
      <xdr:colOff>204644</xdr:colOff>
      <xdr:row>10</xdr:row>
      <xdr:rowOff>86588</xdr:rowOff>
    </xdr:from>
    <xdr:to>
      <xdr:col>24</xdr:col>
      <xdr:colOff>1147874</xdr:colOff>
      <xdr:row>10</xdr:row>
      <xdr:rowOff>310252</xdr:rowOff>
    </xdr:to>
    <xdr:grpSp>
      <xdr:nvGrpSpPr>
        <xdr:cNvPr id="717" name="Gruppieren 716"/>
        <xdr:cNvGrpSpPr/>
      </xdr:nvGrpSpPr>
      <xdr:grpSpPr>
        <a:xfrm>
          <a:off x="13296453" y="3706088"/>
          <a:ext cx="943230" cy="223664"/>
          <a:chOff x="13113498" y="3706088"/>
          <a:chExt cx="943230" cy="223664"/>
        </a:xfrm>
      </xdr:grpSpPr>
      <xdr:sp macro="" textlink="">
        <xdr:nvSpPr>
          <xdr:cNvPr id="708" name="Ellipse 707"/>
          <xdr:cNvSpPr/>
        </xdr:nvSpPr>
        <xdr:spPr>
          <a:xfrm>
            <a:off x="13113498" y="3749752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sp macro="" textlink="">
        <xdr:nvSpPr>
          <xdr:cNvPr id="709" name="Ellipse 708"/>
          <xdr:cNvSpPr/>
        </xdr:nvSpPr>
        <xdr:spPr>
          <a:xfrm>
            <a:off x="13494045" y="3749752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711" name="Gewinkelte Verbindung 35"/>
          <xdr:cNvCxnSpPr>
            <a:stCxn id="708" idx="6"/>
            <a:endCxn id="709" idx="2"/>
          </xdr:cNvCxnSpPr>
        </xdr:nvCxnSpPr>
        <xdr:spPr>
          <a:xfrm>
            <a:off x="13293498" y="3839752"/>
            <a:ext cx="200547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712" name="Ellipse 711"/>
          <xdr:cNvSpPr/>
        </xdr:nvSpPr>
        <xdr:spPr>
          <a:xfrm>
            <a:off x="13874593" y="3749752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cxnSp macro="">
        <xdr:nvCxnSpPr>
          <xdr:cNvPr id="713" name="Gewinkelte Verbindung 35"/>
          <xdr:cNvCxnSpPr>
            <a:stCxn id="709" idx="6"/>
            <a:endCxn id="712" idx="2"/>
          </xdr:cNvCxnSpPr>
        </xdr:nvCxnSpPr>
        <xdr:spPr>
          <a:xfrm>
            <a:off x="13674045" y="3839752"/>
            <a:ext cx="200548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07" name="Gewinkelte Verbindung 35"/>
          <xdr:cNvCxnSpPr>
            <a:stCxn id="709" idx="0"/>
            <a:endCxn id="708" idx="0"/>
          </xdr:cNvCxnSpPr>
        </xdr:nvCxnSpPr>
        <xdr:spPr>
          <a:xfrm rot="16200000" flipV="1">
            <a:off x="13393772" y="3559478"/>
            <a:ext cx="1588" cy="380547"/>
          </a:xfrm>
          <a:prstGeom prst="curvedConnector3">
            <a:avLst>
              <a:gd name="adj1" fmla="val 4798364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830" name="Textfeld 829"/>
          <xdr:cNvSpPr txBox="1"/>
        </xdr:nvSpPr>
        <xdr:spPr>
          <a:xfrm>
            <a:off x="13247068" y="3706088"/>
            <a:ext cx="272761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de-DE" sz="1100" b="1">
                <a:solidFill>
                  <a:srgbClr val="FF0000"/>
                </a:solidFill>
              </a:rPr>
              <a:t>X</a:t>
            </a:r>
          </a:p>
        </xdr:txBody>
      </xdr:sp>
    </xdr:grpSp>
    <xdr:clientData/>
  </xdr:twoCellAnchor>
  <xdr:twoCellAnchor>
    <xdr:from>
      <xdr:col>24</xdr:col>
      <xdr:colOff>396221</xdr:colOff>
      <xdr:row>15</xdr:row>
      <xdr:rowOff>96114</xdr:rowOff>
    </xdr:from>
    <xdr:to>
      <xdr:col>24</xdr:col>
      <xdr:colOff>956298</xdr:colOff>
      <xdr:row>17</xdr:row>
      <xdr:rowOff>0</xdr:rowOff>
    </xdr:to>
    <xdr:grpSp>
      <xdr:nvGrpSpPr>
        <xdr:cNvPr id="779" name="Gruppieren 778"/>
        <xdr:cNvGrpSpPr/>
      </xdr:nvGrpSpPr>
      <xdr:grpSpPr>
        <a:xfrm>
          <a:off x="13488030" y="5620614"/>
          <a:ext cx="560077" cy="665886"/>
          <a:chOff x="13356894" y="5624424"/>
          <a:chExt cx="560077" cy="665886"/>
        </a:xfrm>
      </xdr:grpSpPr>
      <xdr:sp macro="" textlink="">
        <xdr:nvSpPr>
          <xdr:cNvPr id="744" name="Ellipse 743"/>
          <xdr:cNvSpPr/>
        </xdr:nvSpPr>
        <xdr:spPr>
          <a:xfrm>
            <a:off x="13356895" y="5665921"/>
            <a:ext cx="205699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sp macro="" textlink="">
        <xdr:nvSpPr>
          <xdr:cNvPr id="749" name="Ellipse 748"/>
          <xdr:cNvSpPr/>
        </xdr:nvSpPr>
        <xdr:spPr>
          <a:xfrm>
            <a:off x="13356894" y="5966228"/>
            <a:ext cx="205699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D</a:t>
            </a:r>
          </a:p>
        </xdr:txBody>
      </xdr:sp>
      <xdr:cxnSp macro="">
        <xdr:nvCxnSpPr>
          <xdr:cNvPr id="721" name="Gewinkelte Verbindung 35"/>
          <xdr:cNvCxnSpPr>
            <a:stCxn id="744" idx="6"/>
            <a:endCxn id="743" idx="2"/>
          </xdr:cNvCxnSpPr>
        </xdr:nvCxnSpPr>
        <xdr:spPr>
          <a:xfrm>
            <a:off x="13562594" y="5755921"/>
            <a:ext cx="173938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22" name="Gewinkelte Verbindung 35"/>
          <xdr:cNvCxnSpPr>
            <a:stCxn id="749" idx="6"/>
            <a:endCxn id="738" idx="2"/>
          </xdr:cNvCxnSpPr>
        </xdr:nvCxnSpPr>
        <xdr:spPr>
          <a:xfrm>
            <a:off x="13562593" y="6056228"/>
            <a:ext cx="173939" cy="46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738" name="Ellipse 737"/>
          <xdr:cNvSpPr/>
        </xdr:nvSpPr>
        <xdr:spPr>
          <a:xfrm>
            <a:off x="13736533" y="5966692"/>
            <a:ext cx="180438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sp macro="" textlink="">
        <xdr:nvSpPr>
          <xdr:cNvPr id="743" name="Ellipse 742"/>
          <xdr:cNvSpPr/>
        </xdr:nvSpPr>
        <xdr:spPr>
          <a:xfrm>
            <a:off x="13736533" y="5665921"/>
            <a:ext cx="180438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726" name="Gewinkelte Verbindung 35"/>
          <xdr:cNvCxnSpPr>
            <a:stCxn id="738" idx="3"/>
            <a:endCxn id="749" idx="5"/>
          </xdr:cNvCxnSpPr>
        </xdr:nvCxnSpPr>
        <xdr:spPr>
          <a:xfrm rot="5400000" flipH="1">
            <a:off x="13647481" y="6004856"/>
            <a:ext cx="464" cy="230488"/>
          </a:xfrm>
          <a:prstGeom prst="curvedConnector3">
            <a:avLst>
              <a:gd name="adj1" fmla="val -1755798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27" name="Gewinkelte Verbindung 35"/>
          <xdr:cNvCxnSpPr>
            <a:stCxn id="743" idx="1"/>
            <a:endCxn id="744" idx="7"/>
          </xdr:cNvCxnSpPr>
        </xdr:nvCxnSpPr>
        <xdr:spPr>
          <a:xfrm rot="16200000" flipV="1">
            <a:off x="13647716" y="5577037"/>
            <a:ext cx="1588" cy="230487"/>
          </a:xfrm>
          <a:prstGeom prst="curvedConnector3">
            <a:avLst>
              <a:gd name="adj1" fmla="val 6201261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32" name="Gewinkelte Verbindung 35"/>
          <xdr:cNvCxnSpPr>
            <a:stCxn id="738" idx="0"/>
            <a:endCxn id="743" idx="4"/>
          </xdr:cNvCxnSpPr>
        </xdr:nvCxnSpPr>
        <xdr:spPr>
          <a:xfrm rot="5400000" flipH="1" flipV="1">
            <a:off x="13766367" y="5906305"/>
            <a:ext cx="120771" cy="1592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831" name="Textfeld 830"/>
          <xdr:cNvSpPr txBox="1"/>
        </xdr:nvSpPr>
        <xdr:spPr>
          <a:xfrm>
            <a:off x="13521690" y="6069503"/>
            <a:ext cx="272761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de-DE" sz="1100" b="1">
                <a:solidFill>
                  <a:srgbClr val="FF0000"/>
                </a:solidFill>
              </a:rPr>
              <a:t>X</a:t>
            </a:r>
          </a:p>
        </xdr:txBody>
      </xdr:sp>
      <xdr:sp macro="" textlink="">
        <xdr:nvSpPr>
          <xdr:cNvPr id="832" name="Textfeld 831"/>
          <xdr:cNvSpPr txBox="1"/>
        </xdr:nvSpPr>
        <xdr:spPr>
          <a:xfrm>
            <a:off x="13496581" y="5624424"/>
            <a:ext cx="272761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de-DE" sz="1100" b="1">
                <a:solidFill>
                  <a:srgbClr val="FF0000"/>
                </a:solidFill>
              </a:rPr>
              <a:t>X</a:t>
            </a:r>
          </a:p>
        </xdr:txBody>
      </xdr:sp>
    </xdr:grpSp>
    <xdr:clientData/>
  </xdr:twoCellAnchor>
  <xdr:twoCellAnchor>
    <xdr:from>
      <xdr:col>24</xdr:col>
      <xdr:colOff>338199</xdr:colOff>
      <xdr:row>17</xdr:row>
      <xdr:rowOff>100443</xdr:rowOff>
    </xdr:from>
    <xdr:to>
      <xdr:col>24</xdr:col>
      <xdr:colOff>1014319</xdr:colOff>
      <xdr:row>18</xdr:row>
      <xdr:rowOff>293300</xdr:rowOff>
    </xdr:to>
    <xdr:grpSp>
      <xdr:nvGrpSpPr>
        <xdr:cNvPr id="777" name="Gruppieren 776"/>
        <xdr:cNvGrpSpPr/>
      </xdr:nvGrpSpPr>
      <xdr:grpSpPr>
        <a:xfrm>
          <a:off x="13430008" y="6386943"/>
          <a:ext cx="676120" cy="573857"/>
          <a:chOff x="13248818" y="6390753"/>
          <a:chExt cx="676120" cy="573857"/>
        </a:xfrm>
      </xdr:grpSpPr>
      <xdr:cxnSp macro="">
        <xdr:nvCxnSpPr>
          <xdr:cNvPr id="766" name="Gewinkelte Verbindung 35"/>
          <xdr:cNvCxnSpPr>
            <a:stCxn id="767" idx="2"/>
            <a:endCxn id="765" idx="6"/>
          </xdr:cNvCxnSpPr>
        </xdr:nvCxnSpPr>
        <xdr:spPr>
          <a:xfrm rot="10800000" flipV="1">
            <a:off x="13516990" y="6525957"/>
            <a:ext cx="227948" cy="929"/>
          </a:xfrm>
          <a:prstGeom prst="curvedConnector3">
            <a:avLst>
              <a:gd name="adj1" fmla="val 50000"/>
            </a:avLst>
          </a:prstGeom>
          <a:ln>
            <a:headEnd type="triangle" w="sm" len="sm"/>
            <a:tailEnd type="non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68" name="Gewinkelte Verbindung 35"/>
          <xdr:cNvCxnSpPr>
            <a:stCxn id="767" idx="0"/>
            <a:endCxn id="765" idx="0"/>
          </xdr:cNvCxnSpPr>
        </xdr:nvCxnSpPr>
        <xdr:spPr>
          <a:xfrm rot="16200000" flipH="1" flipV="1">
            <a:off x="13630499" y="6232448"/>
            <a:ext cx="929" cy="407948"/>
          </a:xfrm>
          <a:prstGeom prst="curvedConnector3">
            <a:avLst>
              <a:gd name="adj1" fmla="val -9842845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765" name="Ellipse 764"/>
          <xdr:cNvSpPr/>
        </xdr:nvSpPr>
        <xdr:spPr>
          <a:xfrm>
            <a:off x="13336990" y="6436887"/>
            <a:ext cx="180000" cy="180000"/>
          </a:xfrm>
          <a:prstGeom prst="ellipse">
            <a:avLst/>
          </a:prstGeom>
          <a:ln>
            <a:tailEnd type="triangle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sp macro="" textlink="">
        <xdr:nvSpPr>
          <xdr:cNvPr id="767" name="Ellipse 766"/>
          <xdr:cNvSpPr/>
        </xdr:nvSpPr>
        <xdr:spPr>
          <a:xfrm>
            <a:off x="13744938" y="6435958"/>
            <a:ext cx="180000" cy="180000"/>
          </a:xfrm>
          <a:prstGeom prst="ellipse">
            <a:avLst/>
          </a:prstGeom>
          <a:ln>
            <a:tailEnd type="triangle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sp macro="" textlink="">
        <xdr:nvSpPr>
          <xdr:cNvPr id="774" name="Ellipse 773"/>
          <xdr:cNvSpPr/>
        </xdr:nvSpPr>
        <xdr:spPr>
          <a:xfrm>
            <a:off x="13539897" y="6784610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cxnSp macro="">
        <xdr:nvCxnSpPr>
          <xdr:cNvPr id="775" name="Gewinkelte Verbindung 35"/>
          <xdr:cNvCxnSpPr>
            <a:stCxn id="765" idx="5"/>
            <a:endCxn id="774" idx="1"/>
          </xdr:cNvCxnSpPr>
        </xdr:nvCxnSpPr>
        <xdr:spPr>
          <a:xfrm rot="16200000" flipH="1">
            <a:off x="13418379" y="6662778"/>
            <a:ext cx="220443" cy="75940"/>
          </a:xfrm>
          <a:prstGeom prst="straightConnector1">
            <a:avLst/>
          </a:prstGeom>
          <a:ln>
            <a:headEnd type="triangle" w="sm" len="sm"/>
            <a:tailEnd type="non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78" name="Gewinkelte Verbindung 35"/>
          <xdr:cNvCxnSpPr>
            <a:stCxn id="774" idx="7"/>
            <a:endCxn id="767" idx="3"/>
          </xdr:cNvCxnSpPr>
        </xdr:nvCxnSpPr>
        <xdr:spPr>
          <a:xfrm rot="5400000" flipH="1" flipV="1">
            <a:off x="13622642" y="6662315"/>
            <a:ext cx="221372" cy="75939"/>
          </a:xfrm>
          <a:prstGeom prst="straightConnector1">
            <a:avLst/>
          </a:prstGeom>
          <a:ln>
            <a:headEnd type="triangle" w="sm" len="sm"/>
            <a:tailEnd type="non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82" name="Gewinkelte Verbindung 35"/>
          <xdr:cNvCxnSpPr>
            <a:stCxn id="765" idx="3"/>
            <a:endCxn id="774" idx="2"/>
          </xdr:cNvCxnSpPr>
        </xdr:nvCxnSpPr>
        <xdr:spPr>
          <a:xfrm rot="16200000" flipH="1">
            <a:off x="13309582" y="6644294"/>
            <a:ext cx="284083" cy="176547"/>
          </a:xfrm>
          <a:prstGeom prst="curvedConnector2">
            <a:avLst/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90" name="Gewinkelte Verbindung 35"/>
          <xdr:cNvCxnSpPr>
            <a:stCxn id="774" idx="6"/>
            <a:endCxn id="767" idx="5"/>
          </xdr:cNvCxnSpPr>
        </xdr:nvCxnSpPr>
        <xdr:spPr>
          <a:xfrm flipV="1">
            <a:off x="13722032" y="6589598"/>
            <a:ext cx="176546" cy="285012"/>
          </a:xfrm>
          <a:prstGeom prst="curvedConnector2">
            <a:avLst/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833" name="Textfeld 832"/>
          <xdr:cNvSpPr txBox="1"/>
        </xdr:nvSpPr>
        <xdr:spPr>
          <a:xfrm>
            <a:off x="13248818" y="6580387"/>
            <a:ext cx="229581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270" wrap="square" rtlCol="0" anchor="t"/>
          <a:lstStyle/>
          <a:p>
            <a:r>
              <a:rPr lang="de-DE" sz="1100" b="1">
                <a:solidFill>
                  <a:srgbClr val="FF0000"/>
                </a:solidFill>
              </a:rPr>
              <a:t>X</a:t>
            </a:r>
          </a:p>
        </xdr:txBody>
      </xdr:sp>
      <xdr:sp macro="" textlink="">
        <xdr:nvSpPr>
          <xdr:cNvPr id="834" name="Textfeld 833"/>
          <xdr:cNvSpPr txBox="1"/>
        </xdr:nvSpPr>
        <xdr:spPr>
          <a:xfrm>
            <a:off x="13483595" y="6390753"/>
            <a:ext cx="272761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de-DE" sz="1100" b="1">
                <a:solidFill>
                  <a:srgbClr val="FF0000"/>
                </a:solidFill>
              </a:rPr>
              <a:t>X</a:t>
            </a:r>
          </a:p>
        </xdr:txBody>
      </xdr:sp>
      <xdr:sp macro="" textlink="">
        <xdr:nvSpPr>
          <xdr:cNvPr id="835" name="Textfeld 834"/>
          <xdr:cNvSpPr txBox="1"/>
        </xdr:nvSpPr>
        <xdr:spPr>
          <a:xfrm>
            <a:off x="13558690" y="6551811"/>
            <a:ext cx="272761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vert270" wrap="square" rtlCol="0" anchor="t"/>
          <a:lstStyle/>
          <a:p>
            <a:r>
              <a:rPr lang="de-DE" sz="1100" b="1">
                <a:solidFill>
                  <a:srgbClr val="FF0000"/>
                </a:solidFill>
              </a:rPr>
              <a:t>X</a:t>
            </a:r>
          </a:p>
        </xdr:txBody>
      </xdr:sp>
    </xdr:grpSp>
    <xdr:clientData/>
  </xdr:twoCellAnchor>
  <xdr:twoCellAnchor>
    <xdr:from>
      <xdr:col>24</xdr:col>
      <xdr:colOff>220142</xdr:colOff>
      <xdr:row>19</xdr:row>
      <xdr:rowOff>42320</xdr:rowOff>
    </xdr:from>
    <xdr:to>
      <xdr:col>24</xdr:col>
      <xdr:colOff>1132376</xdr:colOff>
      <xdr:row>20</xdr:row>
      <xdr:rowOff>401612</xdr:rowOff>
    </xdr:to>
    <xdr:grpSp>
      <xdr:nvGrpSpPr>
        <xdr:cNvPr id="776" name="Gruppieren 775"/>
        <xdr:cNvGrpSpPr/>
      </xdr:nvGrpSpPr>
      <xdr:grpSpPr>
        <a:xfrm>
          <a:off x="13311951" y="7090820"/>
          <a:ext cx="912234" cy="740292"/>
          <a:chOff x="13174847" y="7072218"/>
          <a:chExt cx="912234" cy="740292"/>
        </a:xfrm>
      </xdr:grpSpPr>
      <xdr:sp macro="" textlink="">
        <xdr:nvSpPr>
          <xdr:cNvPr id="653" name="Ellipse 652"/>
          <xdr:cNvSpPr/>
        </xdr:nvSpPr>
        <xdr:spPr>
          <a:xfrm>
            <a:off x="13174848" y="7331739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D</a:t>
            </a:r>
          </a:p>
        </xdr:txBody>
      </xdr:sp>
      <xdr:sp macro="" textlink="">
        <xdr:nvSpPr>
          <xdr:cNvPr id="654" name="Ellipse 653"/>
          <xdr:cNvSpPr/>
        </xdr:nvSpPr>
        <xdr:spPr>
          <a:xfrm>
            <a:off x="13174847" y="7632046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642" name="Gewinkelte Verbindung 35"/>
          <xdr:cNvCxnSpPr>
            <a:stCxn id="653" idx="6"/>
            <a:endCxn id="652" idx="2"/>
          </xdr:cNvCxnSpPr>
        </xdr:nvCxnSpPr>
        <xdr:spPr>
          <a:xfrm>
            <a:off x="13380048" y="7421739"/>
            <a:ext cx="173516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43" name="Gewinkelte Verbindung 35"/>
          <xdr:cNvCxnSpPr>
            <a:stCxn id="654" idx="6"/>
            <a:endCxn id="651" idx="2"/>
          </xdr:cNvCxnSpPr>
        </xdr:nvCxnSpPr>
        <xdr:spPr>
          <a:xfrm>
            <a:off x="13380047" y="7722046"/>
            <a:ext cx="173517" cy="46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651" name="Ellipse 650"/>
          <xdr:cNvSpPr/>
        </xdr:nvSpPr>
        <xdr:spPr>
          <a:xfrm>
            <a:off x="13553564" y="7632510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F</a:t>
            </a:r>
          </a:p>
        </xdr:txBody>
      </xdr:sp>
      <xdr:sp macro="" textlink="">
        <xdr:nvSpPr>
          <xdr:cNvPr id="652" name="Ellipse 651"/>
          <xdr:cNvSpPr/>
        </xdr:nvSpPr>
        <xdr:spPr>
          <a:xfrm>
            <a:off x="13553564" y="7331739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E</a:t>
            </a:r>
          </a:p>
        </xdr:txBody>
      </xdr:sp>
      <xdr:sp macro="" textlink="">
        <xdr:nvSpPr>
          <xdr:cNvPr id="649" name="Ellipse 648"/>
          <xdr:cNvSpPr/>
        </xdr:nvSpPr>
        <xdr:spPr>
          <a:xfrm>
            <a:off x="13907081" y="7450173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sp macro="" textlink="">
        <xdr:nvSpPr>
          <xdr:cNvPr id="650" name="Ellipse 649"/>
          <xdr:cNvSpPr/>
        </xdr:nvSpPr>
        <xdr:spPr>
          <a:xfrm>
            <a:off x="13907081" y="7214839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cxnSp macro="">
        <xdr:nvCxnSpPr>
          <xdr:cNvPr id="646" name="Gewinkelte Verbindung 35"/>
          <xdr:cNvCxnSpPr>
            <a:stCxn id="652" idx="7"/>
            <a:endCxn id="650" idx="2"/>
          </xdr:cNvCxnSpPr>
        </xdr:nvCxnSpPr>
        <xdr:spPr>
          <a:xfrm rot="5400000" flipH="1" flipV="1">
            <a:off x="13780512" y="7231531"/>
            <a:ext cx="53260" cy="199877"/>
          </a:xfrm>
          <a:prstGeom prst="curvedConnector2">
            <a:avLst/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47" name="Gewinkelte Verbindung 35"/>
          <xdr:cNvCxnSpPr>
            <a:stCxn id="652" idx="5"/>
            <a:endCxn id="649" idx="2"/>
          </xdr:cNvCxnSpPr>
        </xdr:nvCxnSpPr>
        <xdr:spPr>
          <a:xfrm rot="16200000" flipH="1">
            <a:off x="13779745" y="7412837"/>
            <a:ext cx="54794" cy="199877"/>
          </a:xfrm>
          <a:prstGeom prst="curvedConnector2">
            <a:avLst/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48" name="Gewinkelte Verbindung 35"/>
          <xdr:cNvCxnSpPr>
            <a:stCxn id="650" idx="1"/>
            <a:endCxn id="653" idx="7"/>
          </xdr:cNvCxnSpPr>
        </xdr:nvCxnSpPr>
        <xdr:spPr>
          <a:xfrm rot="16200000" flipH="1" flipV="1">
            <a:off x="13583269" y="7007927"/>
            <a:ext cx="116900" cy="583444"/>
          </a:xfrm>
          <a:prstGeom prst="curvedConnector3">
            <a:avLst>
              <a:gd name="adj1" fmla="val -3292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15" name="Gewinkelte Verbindung 35"/>
          <xdr:cNvCxnSpPr>
            <a:stCxn id="651" idx="0"/>
            <a:endCxn id="652" idx="4"/>
          </xdr:cNvCxnSpPr>
        </xdr:nvCxnSpPr>
        <xdr:spPr>
          <a:xfrm rot="5400000" flipH="1" flipV="1">
            <a:off x="13583179" y="7572125"/>
            <a:ext cx="120771" cy="1588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837" name="Textfeld 836"/>
          <xdr:cNvSpPr txBox="1"/>
        </xdr:nvSpPr>
        <xdr:spPr>
          <a:xfrm>
            <a:off x="13480993" y="7072218"/>
            <a:ext cx="272761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de-DE" sz="1100" b="1">
                <a:solidFill>
                  <a:srgbClr val="FF0000"/>
                </a:solidFill>
              </a:rPr>
              <a:t>X</a:t>
            </a:r>
          </a:p>
        </xdr:txBody>
      </xdr:sp>
    </xdr:grpSp>
    <xdr:clientData/>
  </xdr:twoCellAnchor>
  <xdr:twoCellAnchor>
    <xdr:from>
      <xdr:col>24</xdr:col>
      <xdr:colOff>221963</xdr:colOff>
      <xdr:row>20</xdr:row>
      <xdr:rowOff>566627</xdr:rowOff>
    </xdr:from>
    <xdr:to>
      <xdr:col>24</xdr:col>
      <xdr:colOff>1130555</xdr:colOff>
      <xdr:row>22</xdr:row>
      <xdr:rowOff>465749</xdr:rowOff>
    </xdr:to>
    <xdr:grpSp>
      <xdr:nvGrpSpPr>
        <xdr:cNvPr id="770" name="Gruppieren 769"/>
        <xdr:cNvGrpSpPr/>
      </xdr:nvGrpSpPr>
      <xdr:grpSpPr>
        <a:xfrm>
          <a:off x="13313772" y="7996127"/>
          <a:ext cx="908592" cy="1042122"/>
          <a:chOff x="13176668" y="7999937"/>
          <a:chExt cx="908592" cy="1042122"/>
        </a:xfrm>
      </xdr:grpSpPr>
      <xdr:sp macro="" textlink="">
        <xdr:nvSpPr>
          <xdr:cNvPr id="656" name="Ellipse 655"/>
          <xdr:cNvSpPr/>
        </xdr:nvSpPr>
        <xdr:spPr>
          <a:xfrm>
            <a:off x="13176668" y="8112793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E</a:t>
            </a:r>
          </a:p>
        </xdr:txBody>
      </xdr:sp>
      <xdr:sp macro="" textlink="">
        <xdr:nvSpPr>
          <xdr:cNvPr id="657" name="Ellipse 656"/>
          <xdr:cNvSpPr/>
        </xdr:nvSpPr>
        <xdr:spPr>
          <a:xfrm>
            <a:off x="13176668" y="8357237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sp macro="" textlink="">
        <xdr:nvSpPr>
          <xdr:cNvPr id="658" name="Ellipse 657"/>
          <xdr:cNvSpPr/>
        </xdr:nvSpPr>
        <xdr:spPr>
          <a:xfrm>
            <a:off x="13176668" y="8860704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I</a:t>
            </a:r>
          </a:p>
        </xdr:txBody>
      </xdr:sp>
      <xdr:sp macro="" textlink="">
        <xdr:nvSpPr>
          <xdr:cNvPr id="659" name="Ellipse 658"/>
          <xdr:cNvSpPr/>
        </xdr:nvSpPr>
        <xdr:spPr>
          <a:xfrm>
            <a:off x="13176668" y="8608971"/>
            <a:ext cx="2052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G</a:t>
            </a:r>
          </a:p>
        </xdr:txBody>
      </xdr:sp>
      <xdr:sp macro="" textlink="">
        <xdr:nvSpPr>
          <xdr:cNvPr id="660" name="Ellipse 659"/>
          <xdr:cNvSpPr/>
        </xdr:nvSpPr>
        <xdr:spPr>
          <a:xfrm>
            <a:off x="13555151" y="8358623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F</a:t>
            </a:r>
          </a:p>
        </xdr:txBody>
      </xdr:sp>
      <xdr:sp macro="" textlink="">
        <xdr:nvSpPr>
          <xdr:cNvPr id="661" name="Ellipse 660"/>
          <xdr:cNvSpPr/>
        </xdr:nvSpPr>
        <xdr:spPr>
          <a:xfrm>
            <a:off x="13554471" y="8609675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J</a:t>
            </a:r>
          </a:p>
        </xdr:txBody>
      </xdr:sp>
      <xdr:sp macro="" textlink="">
        <xdr:nvSpPr>
          <xdr:cNvPr id="662" name="Ellipse 661"/>
          <xdr:cNvSpPr/>
        </xdr:nvSpPr>
        <xdr:spPr>
          <a:xfrm>
            <a:off x="13550389" y="8860727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K</a:t>
            </a:r>
          </a:p>
        </xdr:txBody>
      </xdr:sp>
      <xdr:grpSp>
        <xdr:nvGrpSpPr>
          <xdr:cNvPr id="754" name="Gruppieren 753"/>
          <xdr:cNvGrpSpPr/>
        </xdr:nvGrpSpPr>
        <xdr:grpSpPr>
          <a:xfrm>
            <a:off x="13903672" y="8202167"/>
            <a:ext cx="180000" cy="377616"/>
            <a:chOff x="13881927" y="8198357"/>
            <a:chExt cx="180000" cy="377616"/>
          </a:xfrm>
        </xdr:grpSpPr>
        <xdr:sp macro="" textlink="">
          <xdr:nvSpPr>
            <xdr:cNvPr id="679" name="Ellipse 678"/>
            <xdr:cNvSpPr/>
          </xdr:nvSpPr>
          <xdr:spPr>
            <a:xfrm>
              <a:off x="13881927" y="8395973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B</a:t>
              </a:r>
            </a:p>
          </xdr:txBody>
        </xdr:sp>
        <xdr:sp macro="" textlink="">
          <xdr:nvSpPr>
            <xdr:cNvPr id="680" name="Ellipse 679"/>
            <xdr:cNvSpPr/>
          </xdr:nvSpPr>
          <xdr:spPr>
            <a:xfrm>
              <a:off x="13881927" y="8198357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D</a:t>
              </a:r>
            </a:p>
          </xdr:txBody>
        </xdr:sp>
      </xdr:grpSp>
      <xdr:grpSp>
        <xdr:nvGrpSpPr>
          <xdr:cNvPr id="769" name="Gruppieren 768"/>
          <xdr:cNvGrpSpPr/>
        </xdr:nvGrpSpPr>
        <xdr:grpSpPr>
          <a:xfrm>
            <a:off x="13903672" y="8661041"/>
            <a:ext cx="180000" cy="381018"/>
            <a:chOff x="13881927" y="8657231"/>
            <a:chExt cx="180000" cy="381018"/>
          </a:xfrm>
        </xdr:grpSpPr>
        <xdr:sp macro="" textlink="">
          <xdr:nvSpPr>
            <xdr:cNvPr id="677" name="Ellipse 676"/>
            <xdr:cNvSpPr/>
          </xdr:nvSpPr>
          <xdr:spPr>
            <a:xfrm>
              <a:off x="13881927" y="8858249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H</a:t>
              </a:r>
            </a:p>
          </xdr:txBody>
        </xdr:sp>
        <xdr:sp macro="" textlink="">
          <xdr:nvSpPr>
            <xdr:cNvPr id="678" name="Ellipse 677"/>
            <xdr:cNvSpPr/>
          </xdr:nvSpPr>
          <xdr:spPr>
            <a:xfrm>
              <a:off x="13881927" y="8657231"/>
              <a:ext cx="180000" cy="180000"/>
            </a:xfrm>
            <a:prstGeom prst="ellipse">
              <a:avLst/>
            </a:prstGeom>
            <a:effectLst/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lIns="0" tIns="0" rIns="0" bIns="0" rtlCol="0" anchor="ctr"/>
            <a:lstStyle/>
            <a:p>
              <a:pPr algn="ctr"/>
              <a:r>
                <a:rPr lang="de-DE" sz="1050" b="0"/>
                <a:t>A</a:t>
              </a:r>
            </a:p>
          </xdr:txBody>
        </xdr:sp>
      </xdr:grpSp>
      <xdr:cxnSp macro="">
        <xdr:nvCxnSpPr>
          <xdr:cNvPr id="665" name="Gewinkelte Verbindung 35"/>
          <xdr:cNvCxnSpPr>
            <a:stCxn id="658" idx="6"/>
            <a:endCxn id="662" idx="2"/>
          </xdr:cNvCxnSpPr>
        </xdr:nvCxnSpPr>
        <xdr:spPr>
          <a:xfrm>
            <a:off x="13381868" y="8950704"/>
            <a:ext cx="168521" cy="23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66" name="Gewinkelte Verbindung 35"/>
          <xdr:cNvCxnSpPr>
            <a:stCxn id="662" idx="6"/>
            <a:endCxn id="677" idx="2"/>
          </xdr:cNvCxnSpPr>
        </xdr:nvCxnSpPr>
        <xdr:spPr>
          <a:xfrm>
            <a:off x="13730389" y="8950727"/>
            <a:ext cx="173283" cy="1332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67" name="Gewinkelte Verbindung 35"/>
          <xdr:cNvCxnSpPr>
            <a:stCxn id="659" idx="6"/>
            <a:endCxn id="661" idx="2"/>
          </xdr:cNvCxnSpPr>
        </xdr:nvCxnSpPr>
        <xdr:spPr>
          <a:xfrm>
            <a:off x="13381868" y="8698971"/>
            <a:ext cx="172603" cy="70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68" name="Gewinkelte Verbindung 35"/>
          <xdr:cNvCxnSpPr>
            <a:stCxn id="662" idx="7"/>
            <a:endCxn id="678" idx="3"/>
          </xdr:cNvCxnSpPr>
        </xdr:nvCxnSpPr>
        <xdr:spPr>
          <a:xfrm rot="5400000" flipH="1" flipV="1">
            <a:off x="13780827" y="8737883"/>
            <a:ext cx="72406" cy="226003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69" name="Gewinkelte Verbindung 35"/>
          <xdr:cNvCxnSpPr>
            <a:stCxn id="677" idx="6"/>
            <a:endCxn id="678" idx="6"/>
          </xdr:cNvCxnSpPr>
        </xdr:nvCxnSpPr>
        <xdr:spPr>
          <a:xfrm flipV="1">
            <a:off x="14083672" y="8751041"/>
            <a:ext cx="1588" cy="201018"/>
          </a:xfrm>
          <a:prstGeom prst="curvedConnector3">
            <a:avLst>
              <a:gd name="adj1" fmla="val 3506613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70" name="Gewinkelte Verbindung 35"/>
          <xdr:cNvCxnSpPr>
            <a:stCxn id="680" idx="6"/>
            <a:endCxn id="679" idx="6"/>
          </xdr:cNvCxnSpPr>
        </xdr:nvCxnSpPr>
        <xdr:spPr>
          <a:xfrm>
            <a:off x="14083672" y="8292167"/>
            <a:ext cx="1588" cy="197616"/>
          </a:xfrm>
          <a:prstGeom prst="curvedConnector3">
            <a:avLst>
              <a:gd name="adj1" fmla="val 3691185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71" name="Gewinkelte Verbindung 35"/>
          <xdr:cNvCxnSpPr>
            <a:stCxn id="657" idx="6"/>
            <a:endCxn id="660" idx="2"/>
          </xdr:cNvCxnSpPr>
        </xdr:nvCxnSpPr>
        <xdr:spPr>
          <a:xfrm>
            <a:off x="13381868" y="8447237"/>
            <a:ext cx="173283" cy="1386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72" name="Gewinkelte Verbindung 35"/>
          <xdr:cNvCxnSpPr>
            <a:stCxn id="660" idx="7"/>
            <a:endCxn id="680" idx="2"/>
          </xdr:cNvCxnSpPr>
        </xdr:nvCxnSpPr>
        <xdr:spPr>
          <a:xfrm rot="5400000" flipH="1" flipV="1">
            <a:off x="13759823" y="8241135"/>
            <a:ext cx="92816" cy="194881"/>
          </a:xfrm>
          <a:prstGeom prst="curvedConnector2">
            <a:avLst/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73" name="Gewinkelte Verbindung 35"/>
          <xdr:cNvCxnSpPr>
            <a:stCxn id="660" idx="6"/>
            <a:endCxn id="679" idx="2"/>
          </xdr:cNvCxnSpPr>
        </xdr:nvCxnSpPr>
        <xdr:spPr>
          <a:xfrm>
            <a:off x="13735151" y="8448623"/>
            <a:ext cx="168521" cy="41160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74" name="Gewinkelte Verbindung 35"/>
          <xdr:cNvCxnSpPr>
            <a:stCxn id="679" idx="3"/>
            <a:endCxn id="661" idx="7"/>
          </xdr:cNvCxnSpPr>
        </xdr:nvCxnSpPr>
        <xdr:spPr>
          <a:xfrm rot="5400000">
            <a:off x="13777766" y="8483769"/>
            <a:ext cx="82612" cy="221921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75" name="Gewinkelte Verbindung 35"/>
          <xdr:cNvCxnSpPr>
            <a:stCxn id="678" idx="2"/>
            <a:endCxn id="661" idx="6"/>
          </xdr:cNvCxnSpPr>
        </xdr:nvCxnSpPr>
        <xdr:spPr>
          <a:xfrm rot="10800000">
            <a:off x="13734472" y="8699675"/>
            <a:ext cx="169201" cy="51366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676" name="Gewinkelte Verbindung 35"/>
          <xdr:cNvCxnSpPr>
            <a:stCxn id="661" idx="1"/>
            <a:endCxn id="657" idx="5"/>
          </xdr:cNvCxnSpPr>
        </xdr:nvCxnSpPr>
        <xdr:spPr>
          <a:xfrm rot="16200000" flipV="1">
            <a:off x="13403745" y="8458949"/>
            <a:ext cx="125158" cy="22901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839" name="Textfeld 838"/>
          <xdr:cNvSpPr txBox="1"/>
        </xdr:nvSpPr>
        <xdr:spPr>
          <a:xfrm>
            <a:off x="13701364" y="8458869"/>
            <a:ext cx="272761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de-DE" sz="1100" b="1">
                <a:solidFill>
                  <a:srgbClr val="FF0000"/>
                </a:solidFill>
              </a:rPr>
              <a:t>X</a:t>
            </a:r>
          </a:p>
        </xdr:txBody>
      </xdr:sp>
      <xdr:cxnSp macro="">
        <xdr:nvCxnSpPr>
          <xdr:cNvPr id="681" name="Gewinkelte Verbindung 35"/>
          <xdr:cNvCxnSpPr>
            <a:stCxn id="656" idx="6"/>
            <a:endCxn id="685" idx="1"/>
          </xdr:cNvCxnSpPr>
        </xdr:nvCxnSpPr>
        <xdr:spPr>
          <a:xfrm flipV="1">
            <a:off x="13381868" y="8110341"/>
            <a:ext cx="204763" cy="92452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685" name="Textfeld 684"/>
          <xdr:cNvSpPr txBox="1"/>
        </xdr:nvSpPr>
        <xdr:spPr>
          <a:xfrm>
            <a:off x="13586631" y="7999937"/>
            <a:ext cx="363683" cy="220807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rtlCol="0" anchor="ctr"/>
          <a:lstStyle/>
          <a:p>
            <a:pPr algn="l"/>
            <a:r>
              <a:rPr lang="de-DE" sz="1100" b="0">
                <a:solidFill>
                  <a:sysClr val="windowText" lastClr="000000"/>
                </a:solidFill>
              </a:rPr>
              <a:t> Foo </a:t>
            </a:r>
          </a:p>
        </xdr:txBody>
      </xdr:sp>
    </xdr:grpSp>
    <xdr:clientData/>
  </xdr:twoCellAnchor>
  <xdr:twoCellAnchor>
    <xdr:from>
      <xdr:col>24</xdr:col>
      <xdr:colOff>112193</xdr:colOff>
      <xdr:row>26</xdr:row>
      <xdr:rowOff>72130</xdr:rowOff>
    </xdr:from>
    <xdr:to>
      <xdr:col>24</xdr:col>
      <xdr:colOff>1194679</xdr:colOff>
      <xdr:row>26</xdr:row>
      <xdr:rowOff>521576</xdr:rowOff>
    </xdr:to>
    <xdr:grpSp>
      <xdr:nvGrpSpPr>
        <xdr:cNvPr id="939" name="Gruppieren 938"/>
        <xdr:cNvGrpSpPr/>
      </xdr:nvGrpSpPr>
      <xdr:grpSpPr>
        <a:xfrm>
          <a:off x="13204002" y="10930630"/>
          <a:ext cx="1082486" cy="449446"/>
          <a:chOff x="13267636" y="10930630"/>
          <a:chExt cx="1082486" cy="449446"/>
        </a:xfrm>
      </xdr:grpSpPr>
      <xdr:sp macro="" textlink="">
        <xdr:nvSpPr>
          <xdr:cNvPr id="663" name="Ellipse 662"/>
          <xdr:cNvSpPr/>
        </xdr:nvSpPr>
        <xdr:spPr>
          <a:xfrm>
            <a:off x="13720228" y="10971162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sp macro="" textlink="">
        <xdr:nvSpPr>
          <xdr:cNvPr id="664" name="Ellipse 663"/>
          <xdr:cNvSpPr/>
        </xdr:nvSpPr>
        <xdr:spPr>
          <a:xfrm>
            <a:off x="14169054" y="11200076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682" name="Gewinkelte Verbindung 35"/>
          <xdr:cNvCxnSpPr>
            <a:stCxn id="663" idx="5"/>
            <a:endCxn id="664" idx="1"/>
          </xdr:cNvCxnSpPr>
        </xdr:nvCxnSpPr>
        <xdr:spPr>
          <a:xfrm rot="16200000" flipH="1">
            <a:off x="13983824" y="11014846"/>
            <a:ext cx="101634" cy="321546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683" name="Ellipse 682"/>
          <xdr:cNvSpPr/>
        </xdr:nvSpPr>
        <xdr:spPr>
          <a:xfrm>
            <a:off x="13719161" y="11164032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D</a:t>
            </a:r>
          </a:p>
        </xdr:txBody>
      </xdr:sp>
      <xdr:sp macro="" textlink="">
        <xdr:nvSpPr>
          <xdr:cNvPr id="703" name="Ellipse 702"/>
          <xdr:cNvSpPr/>
        </xdr:nvSpPr>
        <xdr:spPr>
          <a:xfrm>
            <a:off x="14167987" y="10930630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704" name="Gewinkelte Verbindung 35"/>
          <xdr:cNvCxnSpPr>
            <a:stCxn id="663" idx="6"/>
            <a:endCxn id="703" idx="2"/>
          </xdr:cNvCxnSpPr>
        </xdr:nvCxnSpPr>
        <xdr:spPr>
          <a:xfrm flipV="1">
            <a:off x="13900228" y="11020630"/>
            <a:ext cx="267759" cy="40532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80" name="Gewinkelte Verbindung 35"/>
          <xdr:cNvCxnSpPr>
            <a:stCxn id="683" idx="7"/>
            <a:endCxn id="703" idx="3"/>
          </xdr:cNvCxnSpPr>
        </xdr:nvCxnSpPr>
        <xdr:spPr>
          <a:xfrm rot="5400000" flipH="1" flipV="1">
            <a:off x="13981580" y="10977313"/>
            <a:ext cx="106122" cy="320037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785" name="Gewinkelte Verbindung 35"/>
          <xdr:cNvCxnSpPr>
            <a:stCxn id="683" idx="6"/>
            <a:endCxn id="664" idx="2"/>
          </xdr:cNvCxnSpPr>
        </xdr:nvCxnSpPr>
        <xdr:spPr>
          <a:xfrm>
            <a:off x="13901296" y="11254032"/>
            <a:ext cx="267758" cy="3604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807" name="Ellipse 806"/>
          <xdr:cNvSpPr/>
        </xdr:nvSpPr>
        <xdr:spPr>
          <a:xfrm>
            <a:off x="13268703" y="10953325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E</a:t>
            </a:r>
          </a:p>
        </xdr:txBody>
      </xdr:sp>
      <xdr:sp macro="" textlink="">
        <xdr:nvSpPr>
          <xdr:cNvPr id="808" name="Ellipse 807"/>
          <xdr:cNvSpPr/>
        </xdr:nvSpPr>
        <xdr:spPr>
          <a:xfrm>
            <a:off x="13267636" y="11190784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F</a:t>
            </a:r>
          </a:p>
        </xdr:txBody>
      </xdr:sp>
      <xdr:cxnSp macro="">
        <xdr:nvCxnSpPr>
          <xdr:cNvPr id="809" name="Gewinkelte Verbindung 35"/>
          <xdr:cNvCxnSpPr>
            <a:stCxn id="807" idx="0"/>
            <a:endCxn id="703" idx="0"/>
          </xdr:cNvCxnSpPr>
        </xdr:nvCxnSpPr>
        <xdr:spPr>
          <a:xfrm rot="5400000" flipH="1" flipV="1">
            <a:off x="13797532" y="10491802"/>
            <a:ext cx="22695" cy="900352"/>
          </a:xfrm>
          <a:prstGeom prst="curvedConnector3">
            <a:avLst>
              <a:gd name="adj1" fmla="val 375025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822" name="Gewinkelte Verbindung 35"/>
          <xdr:cNvCxnSpPr>
            <a:stCxn id="808" idx="4"/>
            <a:endCxn id="664" idx="4"/>
          </xdr:cNvCxnSpPr>
        </xdr:nvCxnSpPr>
        <xdr:spPr>
          <a:xfrm rot="16200000" flipH="1">
            <a:off x="13804233" y="10925255"/>
            <a:ext cx="9292" cy="900350"/>
          </a:xfrm>
          <a:prstGeom prst="curvedConnector3">
            <a:avLst>
              <a:gd name="adj1" fmla="val 553648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836" name="Gewinkelte Verbindung 35"/>
          <xdr:cNvCxnSpPr>
            <a:stCxn id="807" idx="6"/>
            <a:endCxn id="664" idx="3"/>
          </xdr:cNvCxnSpPr>
        </xdr:nvCxnSpPr>
        <xdr:spPr>
          <a:xfrm>
            <a:off x="13448703" y="11043325"/>
            <a:ext cx="746711" cy="310391"/>
          </a:xfrm>
          <a:prstGeom prst="curvedConnector4">
            <a:avLst>
              <a:gd name="adj1" fmla="val 16753"/>
              <a:gd name="adj2" fmla="val 107051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04" name="Gewinkelte Verbindung 35"/>
          <xdr:cNvCxnSpPr>
            <a:stCxn id="808" idx="6"/>
            <a:endCxn id="703" idx="1"/>
          </xdr:cNvCxnSpPr>
        </xdr:nvCxnSpPr>
        <xdr:spPr>
          <a:xfrm flipV="1">
            <a:off x="13449771" y="10956990"/>
            <a:ext cx="744889" cy="323794"/>
          </a:xfrm>
          <a:prstGeom prst="curvedConnector4">
            <a:avLst>
              <a:gd name="adj1" fmla="val 18827"/>
              <a:gd name="adj2" fmla="val 109893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</xdr:grpSp>
    <xdr:clientData/>
  </xdr:twoCellAnchor>
  <xdr:twoCellAnchor>
    <xdr:from>
      <xdr:col>24</xdr:col>
      <xdr:colOff>112193</xdr:colOff>
      <xdr:row>27</xdr:row>
      <xdr:rowOff>74562</xdr:rowOff>
    </xdr:from>
    <xdr:to>
      <xdr:col>24</xdr:col>
      <xdr:colOff>1194679</xdr:colOff>
      <xdr:row>27</xdr:row>
      <xdr:rowOff>524008</xdr:rowOff>
    </xdr:to>
    <xdr:grpSp>
      <xdr:nvGrpSpPr>
        <xdr:cNvPr id="940" name="Gruppieren 939"/>
        <xdr:cNvGrpSpPr/>
      </xdr:nvGrpSpPr>
      <xdr:grpSpPr>
        <a:xfrm>
          <a:off x="13204002" y="11504562"/>
          <a:ext cx="1082486" cy="449446"/>
          <a:chOff x="13267636" y="10930630"/>
          <a:chExt cx="1082486" cy="449446"/>
        </a:xfrm>
      </xdr:grpSpPr>
      <xdr:sp macro="" textlink="">
        <xdr:nvSpPr>
          <xdr:cNvPr id="941" name="Ellipse 940"/>
          <xdr:cNvSpPr/>
        </xdr:nvSpPr>
        <xdr:spPr>
          <a:xfrm>
            <a:off x="13720228" y="10971162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sp macro="" textlink="">
        <xdr:nvSpPr>
          <xdr:cNvPr id="942" name="Ellipse 941"/>
          <xdr:cNvSpPr/>
        </xdr:nvSpPr>
        <xdr:spPr>
          <a:xfrm>
            <a:off x="14169054" y="11200076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943" name="Gewinkelte Verbindung 35"/>
          <xdr:cNvCxnSpPr>
            <a:stCxn id="941" idx="5"/>
            <a:endCxn id="942" idx="1"/>
          </xdr:cNvCxnSpPr>
        </xdr:nvCxnSpPr>
        <xdr:spPr>
          <a:xfrm rot="16200000" flipH="1">
            <a:off x="13983824" y="11014846"/>
            <a:ext cx="101634" cy="321546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944" name="Ellipse 943"/>
          <xdr:cNvSpPr/>
        </xdr:nvSpPr>
        <xdr:spPr>
          <a:xfrm>
            <a:off x="13719161" y="11164032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D</a:t>
            </a:r>
          </a:p>
        </xdr:txBody>
      </xdr:sp>
      <xdr:sp macro="" textlink="">
        <xdr:nvSpPr>
          <xdr:cNvPr id="946" name="Ellipse 945"/>
          <xdr:cNvSpPr/>
        </xdr:nvSpPr>
        <xdr:spPr>
          <a:xfrm>
            <a:off x="14167987" y="10930630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947" name="Gewinkelte Verbindung 35"/>
          <xdr:cNvCxnSpPr>
            <a:stCxn id="941" idx="6"/>
            <a:endCxn id="946" idx="2"/>
          </xdr:cNvCxnSpPr>
        </xdr:nvCxnSpPr>
        <xdr:spPr>
          <a:xfrm flipV="1">
            <a:off x="13900228" y="11020630"/>
            <a:ext cx="267759" cy="40532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49" name="Gewinkelte Verbindung 35"/>
          <xdr:cNvCxnSpPr>
            <a:stCxn id="944" idx="7"/>
            <a:endCxn id="946" idx="3"/>
          </xdr:cNvCxnSpPr>
        </xdr:nvCxnSpPr>
        <xdr:spPr>
          <a:xfrm rot="5400000" flipH="1" flipV="1">
            <a:off x="13981580" y="10977313"/>
            <a:ext cx="106122" cy="320037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50" name="Gewinkelte Verbindung 35"/>
          <xdr:cNvCxnSpPr>
            <a:stCxn id="944" idx="6"/>
            <a:endCxn id="942" idx="2"/>
          </xdr:cNvCxnSpPr>
        </xdr:nvCxnSpPr>
        <xdr:spPr>
          <a:xfrm>
            <a:off x="13901296" y="11254032"/>
            <a:ext cx="267758" cy="3604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951" name="Ellipse 950"/>
          <xdr:cNvSpPr/>
        </xdr:nvSpPr>
        <xdr:spPr>
          <a:xfrm>
            <a:off x="13268703" y="10953325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E</a:t>
            </a:r>
          </a:p>
        </xdr:txBody>
      </xdr:sp>
      <xdr:sp macro="" textlink="">
        <xdr:nvSpPr>
          <xdr:cNvPr id="952" name="Ellipse 951"/>
          <xdr:cNvSpPr/>
        </xdr:nvSpPr>
        <xdr:spPr>
          <a:xfrm>
            <a:off x="13267636" y="11190784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F</a:t>
            </a:r>
          </a:p>
        </xdr:txBody>
      </xdr:sp>
      <xdr:cxnSp macro="">
        <xdr:nvCxnSpPr>
          <xdr:cNvPr id="953" name="Gewinkelte Verbindung 35"/>
          <xdr:cNvCxnSpPr>
            <a:stCxn id="951" idx="0"/>
            <a:endCxn id="946" idx="0"/>
          </xdr:cNvCxnSpPr>
        </xdr:nvCxnSpPr>
        <xdr:spPr>
          <a:xfrm rot="5400000" flipH="1" flipV="1">
            <a:off x="13797532" y="10491802"/>
            <a:ext cx="22695" cy="900352"/>
          </a:xfrm>
          <a:prstGeom prst="curvedConnector3">
            <a:avLst>
              <a:gd name="adj1" fmla="val 375025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54" name="Gewinkelte Verbindung 35"/>
          <xdr:cNvCxnSpPr>
            <a:stCxn id="952" idx="4"/>
            <a:endCxn id="942" idx="4"/>
          </xdr:cNvCxnSpPr>
        </xdr:nvCxnSpPr>
        <xdr:spPr>
          <a:xfrm rot="16200000" flipH="1">
            <a:off x="13804233" y="10925255"/>
            <a:ext cx="9292" cy="900350"/>
          </a:xfrm>
          <a:prstGeom prst="curvedConnector3">
            <a:avLst>
              <a:gd name="adj1" fmla="val 553648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55" name="Gewinkelte Verbindung 35"/>
          <xdr:cNvCxnSpPr>
            <a:stCxn id="951" idx="6"/>
            <a:endCxn id="942" idx="3"/>
          </xdr:cNvCxnSpPr>
        </xdr:nvCxnSpPr>
        <xdr:spPr>
          <a:xfrm>
            <a:off x="13448703" y="11043325"/>
            <a:ext cx="746711" cy="310391"/>
          </a:xfrm>
          <a:prstGeom prst="curvedConnector4">
            <a:avLst>
              <a:gd name="adj1" fmla="val 12953"/>
              <a:gd name="adj2" fmla="val 116192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56" name="Gewinkelte Verbindung 35"/>
          <xdr:cNvCxnSpPr>
            <a:stCxn id="952" idx="6"/>
            <a:endCxn id="946" idx="1"/>
          </xdr:cNvCxnSpPr>
        </xdr:nvCxnSpPr>
        <xdr:spPr>
          <a:xfrm flipV="1">
            <a:off x="13449771" y="10956990"/>
            <a:ext cx="744889" cy="323794"/>
          </a:xfrm>
          <a:prstGeom prst="curvedConnector4">
            <a:avLst>
              <a:gd name="adj1" fmla="val 18827"/>
              <a:gd name="adj2" fmla="val 119907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</xdr:grpSp>
    <xdr:clientData/>
  </xdr:twoCellAnchor>
  <xdr:twoCellAnchor>
    <xdr:from>
      <xdr:col>24</xdr:col>
      <xdr:colOff>112193</xdr:colOff>
      <xdr:row>28</xdr:row>
      <xdr:rowOff>170218</xdr:rowOff>
    </xdr:from>
    <xdr:to>
      <xdr:col>24</xdr:col>
      <xdr:colOff>1194679</xdr:colOff>
      <xdr:row>28</xdr:row>
      <xdr:rowOff>619664</xdr:rowOff>
    </xdr:to>
    <xdr:grpSp>
      <xdr:nvGrpSpPr>
        <xdr:cNvPr id="957" name="Gruppieren 956"/>
        <xdr:cNvGrpSpPr/>
      </xdr:nvGrpSpPr>
      <xdr:grpSpPr>
        <a:xfrm>
          <a:off x="13204002" y="12171718"/>
          <a:ext cx="1082486" cy="449446"/>
          <a:chOff x="13267636" y="10930630"/>
          <a:chExt cx="1082486" cy="449446"/>
        </a:xfrm>
      </xdr:grpSpPr>
      <xdr:sp macro="" textlink="">
        <xdr:nvSpPr>
          <xdr:cNvPr id="964" name="Ellipse 963"/>
          <xdr:cNvSpPr/>
        </xdr:nvSpPr>
        <xdr:spPr>
          <a:xfrm>
            <a:off x="13720228" y="10971162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C</a:t>
            </a:r>
          </a:p>
        </xdr:txBody>
      </xdr:sp>
      <xdr:sp macro="" textlink="">
        <xdr:nvSpPr>
          <xdr:cNvPr id="965" name="Ellipse 964"/>
          <xdr:cNvSpPr/>
        </xdr:nvSpPr>
        <xdr:spPr>
          <a:xfrm>
            <a:off x="14169054" y="11200076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B</a:t>
            </a:r>
          </a:p>
        </xdr:txBody>
      </xdr:sp>
      <xdr:cxnSp macro="">
        <xdr:nvCxnSpPr>
          <xdr:cNvPr id="966" name="Gewinkelte Verbindung 35"/>
          <xdr:cNvCxnSpPr>
            <a:stCxn id="964" idx="5"/>
            <a:endCxn id="965" idx="1"/>
          </xdr:cNvCxnSpPr>
        </xdr:nvCxnSpPr>
        <xdr:spPr>
          <a:xfrm rot="16200000" flipH="1">
            <a:off x="13983824" y="11014846"/>
            <a:ext cx="101634" cy="321546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967" name="Ellipse 966"/>
          <xdr:cNvSpPr/>
        </xdr:nvSpPr>
        <xdr:spPr>
          <a:xfrm>
            <a:off x="13719161" y="11164032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D</a:t>
            </a:r>
          </a:p>
        </xdr:txBody>
      </xdr:sp>
      <xdr:sp macro="" textlink="">
        <xdr:nvSpPr>
          <xdr:cNvPr id="968" name="Ellipse 967"/>
          <xdr:cNvSpPr/>
        </xdr:nvSpPr>
        <xdr:spPr>
          <a:xfrm>
            <a:off x="14167987" y="10930630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A</a:t>
            </a:r>
          </a:p>
        </xdr:txBody>
      </xdr:sp>
      <xdr:cxnSp macro="">
        <xdr:nvCxnSpPr>
          <xdr:cNvPr id="969" name="Gewinkelte Verbindung 35"/>
          <xdr:cNvCxnSpPr>
            <a:stCxn id="964" idx="6"/>
            <a:endCxn id="968" idx="2"/>
          </xdr:cNvCxnSpPr>
        </xdr:nvCxnSpPr>
        <xdr:spPr>
          <a:xfrm flipV="1">
            <a:off x="13900228" y="11020630"/>
            <a:ext cx="267759" cy="40532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70" name="Gewinkelte Verbindung 35"/>
          <xdr:cNvCxnSpPr>
            <a:stCxn id="967" idx="7"/>
            <a:endCxn id="968" idx="3"/>
          </xdr:cNvCxnSpPr>
        </xdr:nvCxnSpPr>
        <xdr:spPr>
          <a:xfrm rot="5400000" flipH="1" flipV="1">
            <a:off x="13981580" y="10977313"/>
            <a:ext cx="106122" cy="320037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72" name="Gewinkelte Verbindung 35"/>
          <xdr:cNvCxnSpPr>
            <a:stCxn id="967" idx="6"/>
            <a:endCxn id="965" idx="2"/>
          </xdr:cNvCxnSpPr>
        </xdr:nvCxnSpPr>
        <xdr:spPr>
          <a:xfrm>
            <a:off x="13901296" y="11254032"/>
            <a:ext cx="267758" cy="36044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sp macro="" textlink="">
        <xdr:nvSpPr>
          <xdr:cNvPr id="973" name="Ellipse 972"/>
          <xdr:cNvSpPr/>
        </xdr:nvSpPr>
        <xdr:spPr>
          <a:xfrm>
            <a:off x="13268703" y="10953325"/>
            <a:ext cx="180000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E</a:t>
            </a:r>
          </a:p>
        </xdr:txBody>
      </xdr:sp>
      <xdr:sp macro="" textlink="">
        <xdr:nvSpPr>
          <xdr:cNvPr id="974" name="Ellipse 973"/>
          <xdr:cNvSpPr/>
        </xdr:nvSpPr>
        <xdr:spPr>
          <a:xfrm>
            <a:off x="13267636" y="11190784"/>
            <a:ext cx="182135" cy="180000"/>
          </a:xfrm>
          <a:prstGeom prst="ellipse">
            <a:avLst/>
          </a:prstGeom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de-DE" sz="1050" b="0"/>
              <a:t>F</a:t>
            </a:r>
          </a:p>
        </xdr:txBody>
      </xdr:sp>
      <xdr:cxnSp macro="">
        <xdr:nvCxnSpPr>
          <xdr:cNvPr id="975" name="Gewinkelte Verbindung 35"/>
          <xdr:cNvCxnSpPr>
            <a:stCxn id="973" idx="7"/>
            <a:endCxn id="964" idx="1"/>
          </xdr:cNvCxnSpPr>
        </xdr:nvCxnSpPr>
        <xdr:spPr>
          <a:xfrm rot="16200000" flipH="1">
            <a:off x="13575546" y="10826481"/>
            <a:ext cx="17837" cy="324245"/>
          </a:xfrm>
          <a:prstGeom prst="curvedConnector3">
            <a:avLst>
              <a:gd name="adj1" fmla="val -406829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76" name="Gewinkelte Verbindung 35"/>
          <xdr:cNvCxnSpPr>
            <a:stCxn id="974" idx="5"/>
            <a:endCxn id="967" idx="3"/>
          </xdr:cNvCxnSpPr>
        </xdr:nvCxnSpPr>
        <xdr:spPr>
          <a:xfrm rot="5400000" flipH="1" flipV="1">
            <a:off x="13571090" y="11169680"/>
            <a:ext cx="26752" cy="322736"/>
          </a:xfrm>
          <a:prstGeom prst="curvedConnector3">
            <a:avLst>
              <a:gd name="adj1" fmla="val -271258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77" name="Gewinkelte Verbindung 35"/>
          <xdr:cNvCxnSpPr>
            <a:stCxn id="973" idx="6"/>
            <a:endCxn id="967" idx="2"/>
          </xdr:cNvCxnSpPr>
        </xdr:nvCxnSpPr>
        <xdr:spPr>
          <a:xfrm>
            <a:off x="13448703" y="11043325"/>
            <a:ext cx="270458" cy="210707"/>
          </a:xfrm>
          <a:prstGeom prst="curvedConnector3">
            <a:avLst>
              <a:gd name="adj1" fmla="val 50000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  <xdr:cxnSp macro="">
        <xdr:nvCxnSpPr>
          <xdr:cNvPr id="978" name="Gewinkelte Verbindung 35"/>
          <xdr:cNvCxnSpPr>
            <a:stCxn id="974" idx="6"/>
            <a:endCxn id="964" idx="2"/>
          </xdr:cNvCxnSpPr>
        </xdr:nvCxnSpPr>
        <xdr:spPr>
          <a:xfrm flipV="1">
            <a:off x="13449771" y="11061162"/>
            <a:ext cx="270457" cy="219622"/>
          </a:xfrm>
          <a:prstGeom prst="curvedConnector3">
            <a:avLst>
              <a:gd name="adj1" fmla="val 35014"/>
            </a:avLst>
          </a:prstGeom>
          <a:ln>
            <a:tailEnd type="triangle" w="sm" len="sm"/>
          </a:ln>
          <a:effectLst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</xdr:cxnSp>
    </xdr:grpSp>
    <xdr:clientData/>
  </xdr:twoCellAnchor>
  <xdr:twoCellAnchor>
    <xdr:from>
      <xdr:col>24</xdr:col>
      <xdr:colOff>266899</xdr:colOff>
      <xdr:row>27</xdr:row>
      <xdr:rowOff>123617</xdr:rowOff>
    </xdr:from>
    <xdr:to>
      <xdr:col>24</xdr:col>
      <xdr:colOff>591144</xdr:colOff>
      <xdr:row>27</xdr:row>
      <xdr:rowOff>141454</xdr:rowOff>
    </xdr:to>
    <xdr:cxnSp macro="">
      <xdr:nvCxnSpPr>
        <xdr:cNvPr id="998" name="Gewinkelte Verbindung 35"/>
        <xdr:cNvCxnSpPr>
          <a:stCxn id="951" idx="7"/>
          <a:endCxn id="941" idx="1"/>
        </xdr:cNvCxnSpPr>
      </xdr:nvCxnSpPr>
      <xdr:spPr>
        <a:xfrm rot="16200000" flipH="1">
          <a:off x="13511912" y="11400413"/>
          <a:ext cx="17837" cy="324245"/>
        </a:xfrm>
        <a:prstGeom prst="curvedConnector3">
          <a:avLst>
            <a:gd name="adj1" fmla="val -361384"/>
          </a:avLst>
        </a:prstGeom>
        <a:ln>
          <a:tailEnd type="triangle" w="sm" len="sm"/>
        </a:ln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</xdr:cxnSp>
    <xdr:clientData/>
  </xdr:twoCellAnchor>
  <xdr:twoCellAnchor>
    <xdr:from>
      <xdr:col>24</xdr:col>
      <xdr:colOff>267655</xdr:colOff>
      <xdr:row>27</xdr:row>
      <xdr:rowOff>461604</xdr:rowOff>
    </xdr:from>
    <xdr:to>
      <xdr:col>24</xdr:col>
      <xdr:colOff>590391</xdr:colOff>
      <xdr:row>27</xdr:row>
      <xdr:rowOff>488356</xdr:rowOff>
    </xdr:to>
    <xdr:cxnSp macro="">
      <xdr:nvCxnSpPr>
        <xdr:cNvPr id="1006" name="Gewinkelte Verbindung 35"/>
        <xdr:cNvCxnSpPr>
          <a:stCxn id="952" idx="5"/>
          <a:endCxn id="944" idx="3"/>
        </xdr:cNvCxnSpPr>
      </xdr:nvCxnSpPr>
      <xdr:spPr>
        <a:xfrm rot="5400000" flipH="1" flipV="1">
          <a:off x="13507456" y="11743612"/>
          <a:ext cx="26752" cy="322736"/>
        </a:xfrm>
        <a:prstGeom prst="curvedConnector3">
          <a:avLst>
            <a:gd name="adj1" fmla="val -150045"/>
          </a:avLst>
        </a:prstGeom>
        <a:ln>
          <a:tailEnd type="triangle" w="sm" len="sm"/>
        </a:ln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</xdr:cxnSp>
    <xdr:clientData/>
  </xdr:twoCellAnchor>
  <xdr:twoCellAnchor>
    <xdr:from>
      <xdr:col>24</xdr:col>
      <xdr:colOff>267655</xdr:colOff>
      <xdr:row>27</xdr:row>
      <xdr:rowOff>205094</xdr:rowOff>
    </xdr:from>
    <xdr:to>
      <xdr:col>24</xdr:col>
      <xdr:colOff>564785</xdr:colOff>
      <xdr:row>27</xdr:row>
      <xdr:rowOff>361076</xdr:rowOff>
    </xdr:to>
    <xdr:cxnSp macro="">
      <xdr:nvCxnSpPr>
        <xdr:cNvPr id="1024" name="Gewinkelte Verbindung 35"/>
        <xdr:cNvCxnSpPr>
          <a:stCxn id="952" idx="7"/>
          <a:endCxn id="941" idx="2"/>
        </xdr:cNvCxnSpPr>
      </xdr:nvCxnSpPr>
      <xdr:spPr>
        <a:xfrm rot="5400000" flipH="1" flipV="1">
          <a:off x="13430038" y="11564520"/>
          <a:ext cx="155982" cy="297130"/>
        </a:xfrm>
        <a:prstGeom prst="curvedConnector2">
          <a:avLst/>
        </a:prstGeom>
        <a:ln>
          <a:tailEnd type="triangle" w="sm" len="sm"/>
        </a:ln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</xdr:cxnSp>
    <xdr:clientData/>
  </xdr:twoCellAnchor>
  <xdr:twoCellAnchor>
    <xdr:from>
      <xdr:col>24</xdr:col>
      <xdr:colOff>266901</xdr:colOff>
      <xdr:row>27</xdr:row>
      <xdr:rowOff>250896</xdr:rowOff>
    </xdr:from>
    <xdr:to>
      <xdr:col>24</xdr:col>
      <xdr:colOff>563719</xdr:colOff>
      <xdr:row>27</xdr:row>
      <xdr:rowOff>397963</xdr:rowOff>
    </xdr:to>
    <xdr:cxnSp macro="">
      <xdr:nvCxnSpPr>
        <xdr:cNvPr id="1039" name="Gewinkelte Verbindung 35"/>
        <xdr:cNvCxnSpPr>
          <a:stCxn id="951" idx="5"/>
          <a:endCxn id="944" idx="2"/>
        </xdr:cNvCxnSpPr>
      </xdr:nvCxnSpPr>
      <xdr:spPr>
        <a:xfrm rot="16200000" flipH="1">
          <a:off x="13433585" y="11606021"/>
          <a:ext cx="147067" cy="296818"/>
        </a:xfrm>
        <a:prstGeom prst="curvedConnector2">
          <a:avLst/>
        </a:prstGeom>
        <a:ln>
          <a:tailEnd type="triangle" w="sm" len="sm"/>
        </a:ln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</xdr:cxn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K79"/>
  <sheetViews>
    <sheetView tabSelected="1" topLeftCell="Z26" zoomScale="235" zoomScaleNormal="235" zoomScalePageLayoutView="70" workbookViewId="0">
      <selection activeCell="Z27" sqref="Z27"/>
    </sheetView>
  </sheetViews>
  <sheetFormatPr baseColWidth="10" defaultRowHeight="15"/>
  <cols>
    <col min="1" max="1" width="3.28515625" style="8" customWidth="1"/>
    <col min="2" max="2" width="15.28515625" style="1" customWidth="1"/>
    <col min="3" max="3" width="24.85546875" style="15" customWidth="1"/>
    <col min="4" max="4" width="14.85546875" style="15" customWidth="1"/>
    <col min="5" max="5" width="8.28515625" style="6" customWidth="1"/>
    <col min="6" max="6" width="9.42578125" style="15" customWidth="1"/>
    <col min="7" max="8" width="5.7109375" customWidth="1"/>
    <col min="9" max="9" width="15.42578125" customWidth="1"/>
    <col min="10" max="10" width="6" customWidth="1"/>
    <col min="11" max="18" width="4.7109375" customWidth="1"/>
    <col min="19" max="20" width="6" customWidth="1"/>
    <col min="21" max="21" width="6.42578125" customWidth="1"/>
    <col min="22" max="22" width="15.42578125" customWidth="1"/>
    <col min="23" max="23" width="12.42578125" customWidth="1"/>
    <col min="24" max="24" width="3.28515625" style="6" customWidth="1"/>
    <col min="25" max="25" width="20.140625" bestFit="1" customWidth="1"/>
    <col min="26" max="26" width="31.42578125" customWidth="1"/>
    <col min="27" max="27" width="6.5703125" customWidth="1"/>
    <col min="28" max="28" width="12.42578125" customWidth="1"/>
  </cols>
  <sheetData>
    <row r="1" spans="1:37" s="2" customFormat="1" ht="32.25" customHeight="1">
      <c r="A1" s="56" t="s">
        <v>160</v>
      </c>
      <c r="B1" s="56"/>
      <c r="C1" s="56"/>
      <c r="D1" s="56"/>
      <c r="E1" s="56"/>
      <c r="F1" s="56"/>
      <c r="G1" s="56"/>
      <c r="H1" s="56"/>
      <c r="I1" s="56" t="s">
        <v>161</v>
      </c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31"/>
      <c r="X1" s="56" t="s">
        <v>162</v>
      </c>
      <c r="Y1" s="56"/>
      <c r="Z1" s="56"/>
      <c r="AA1" s="56"/>
      <c r="AB1" s="30"/>
      <c r="AC1" s="30"/>
      <c r="AD1" s="30"/>
      <c r="AE1" s="30"/>
      <c r="AF1" s="30"/>
      <c r="AG1" s="30"/>
      <c r="AH1" s="30"/>
      <c r="AI1" s="30"/>
      <c r="AJ1" s="30"/>
      <c r="AK1" s="30"/>
    </row>
    <row r="2" spans="1:37" s="42" customFormat="1" ht="21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30"/>
      <c r="AC2" s="30"/>
      <c r="AD2" s="30"/>
      <c r="AE2" s="30"/>
      <c r="AF2" s="30"/>
      <c r="AG2" s="30"/>
      <c r="AH2" s="30"/>
      <c r="AI2" s="30"/>
      <c r="AJ2" s="30"/>
      <c r="AK2" s="30"/>
    </row>
    <row r="3" spans="1:37" s="29" customFormat="1" ht="21.75" thickBot="1">
      <c r="A3" s="28" t="s">
        <v>0</v>
      </c>
      <c r="B3" s="44" t="s">
        <v>184</v>
      </c>
      <c r="C3" s="32" t="s">
        <v>133</v>
      </c>
      <c r="D3" s="32" t="s">
        <v>183</v>
      </c>
      <c r="E3" s="28" t="s">
        <v>73</v>
      </c>
      <c r="F3" s="32" t="s">
        <v>134</v>
      </c>
      <c r="G3" s="55" t="s">
        <v>74</v>
      </c>
      <c r="H3" s="55"/>
      <c r="J3" s="55" t="s">
        <v>109</v>
      </c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X3" s="28" t="s">
        <v>0</v>
      </c>
      <c r="Y3" s="41" t="s">
        <v>182</v>
      </c>
      <c r="Z3" s="28" t="s">
        <v>166</v>
      </c>
      <c r="AA3" s="28" t="s">
        <v>74</v>
      </c>
      <c r="AB3" s="33"/>
      <c r="AC3" s="33"/>
      <c r="AD3" s="33"/>
      <c r="AE3" s="1"/>
      <c r="AF3" s="1"/>
      <c r="AG3" s="1"/>
      <c r="AH3" s="1"/>
      <c r="AI3" s="1"/>
      <c r="AJ3" s="1"/>
    </row>
    <row r="4" spans="1:37" ht="30" customHeight="1">
      <c r="A4" s="6">
        <v>0</v>
      </c>
      <c r="B4"/>
      <c r="C4" s="17" t="s">
        <v>13</v>
      </c>
      <c r="D4" s="17" t="s">
        <v>13</v>
      </c>
      <c r="E4" s="9" t="s">
        <v>6</v>
      </c>
      <c r="F4" s="16" t="s">
        <v>135</v>
      </c>
      <c r="G4" s="51" t="s">
        <v>1</v>
      </c>
      <c r="H4" s="52" t="s">
        <v>7</v>
      </c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X4" s="34">
        <v>0</v>
      </c>
      <c r="Y4" s="35"/>
      <c r="Z4" s="37" t="s">
        <v>14</v>
      </c>
      <c r="AA4" s="51" t="s">
        <v>1</v>
      </c>
    </row>
    <row r="5" spans="1:37" ht="30" customHeight="1">
      <c r="A5" s="6">
        <v>1</v>
      </c>
      <c r="B5"/>
      <c r="C5" s="15" t="s">
        <v>15</v>
      </c>
      <c r="D5" s="15" t="s">
        <v>14</v>
      </c>
      <c r="E5" s="9" t="s">
        <v>6</v>
      </c>
      <c r="F5" s="16" t="s">
        <v>135</v>
      </c>
      <c r="G5" s="52"/>
      <c r="H5" s="52"/>
      <c r="J5" s="45" t="s">
        <v>163</v>
      </c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X5" s="9">
        <v>1</v>
      </c>
      <c r="Y5" s="12"/>
      <c r="Z5" s="38" t="s">
        <v>169</v>
      </c>
      <c r="AA5" s="52"/>
    </row>
    <row r="6" spans="1:37" ht="30" customHeight="1">
      <c r="A6" s="7">
        <v>2</v>
      </c>
      <c r="B6" s="4"/>
      <c r="C6" s="14" t="s">
        <v>16</v>
      </c>
      <c r="D6" s="14" t="s">
        <v>14</v>
      </c>
      <c r="E6" s="7" t="s">
        <v>5</v>
      </c>
      <c r="F6" s="14" t="s">
        <v>136</v>
      </c>
      <c r="G6" s="53"/>
      <c r="H6" s="52"/>
      <c r="J6" s="6" t="s">
        <v>164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X6" s="7">
        <v>2</v>
      </c>
      <c r="Y6" s="4"/>
      <c r="Z6" s="40" t="s">
        <v>170</v>
      </c>
      <c r="AA6" s="53"/>
    </row>
    <row r="7" spans="1:37" ht="30" customHeight="1">
      <c r="A7" s="6">
        <v>3</v>
      </c>
      <c r="B7"/>
      <c r="C7" s="15" t="s">
        <v>17</v>
      </c>
      <c r="D7" s="15" t="s">
        <v>44</v>
      </c>
      <c r="E7" s="10" t="s">
        <v>6</v>
      </c>
      <c r="F7" s="25" t="s">
        <v>138</v>
      </c>
      <c r="G7" s="57" t="s">
        <v>2</v>
      </c>
      <c r="H7" s="52"/>
      <c r="J7" s="6" t="s">
        <v>165</v>
      </c>
      <c r="K7" s="6" t="s">
        <v>97</v>
      </c>
      <c r="L7" s="6"/>
      <c r="M7" s="6"/>
      <c r="N7" s="6"/>
      <c r="O7" s="6"/>
      <c r="P7" s="6"/>
      <c r="Q7" s="6"/>
      <c r="R7" s="6"/>
      <c r="S7" s="6"/>
      <c r="T7" s="6"/>
      <c r="U7" s="6"/>
      <c r="X7" s="10">
        <v>3</v>
      </c>
      <c r="Y7" s="36"/>
      <c r="Z7" s="39" t="s">
        <v>171</v>
      </c>
      <c r="AA7" s="57" t="s">
        <v>2</v>
      </c>
    </row>
    <row r="8" spans="1:37" ht="30" customHeight="1">
      <c r="A8" s="6">
        <v>4</v>
      </c>
      <c r="B8"/>
      <c r="C8" s="15" t="s">
        <v>18</v>
      </c>
      <c r="D8" s="15" t="s">
        <v>45</v>
      </c>
      <c r="E8" s="11" t="s">
        <v>5</v>
      </c>
      <c r="F8" s="26" t="s">
        <v>137</v>
      </c>
      <c r="G8" s="52"/>
      <c r="H8" s="52"/>
      <c r="J8" s="6" t="s">
        <v>98</v>
      </c>
      <c r="K8" s="6" t="s">
        <v>99</v>
      </c>
      <c r="L8" s="6"/>
      <c r="M8" s="6"/>
      <c r="N8" s="6"/>
      <c r="O8" s="6"/>
      <c r="P8" s="6"/>
      <c r="Q8" s="6"/>
      <c r="R8" s="6"/>
      <c r="S8" s="6"/>
      <c r="T8" s="6"/>
      <c r="U8" s="6"/>
      <c r="X8" s="9">
        <f>X7+1</f>
        <v>4</v>
      </c>
      <c r="Y8" s="12"/>
      <c r="Z8" s="26" t="s">
        <v>172</v>
      </c>
      <c r="AA8" s="65"/>
    </row>
    <row r="9" spans="1:37" ht="30" customHeight="1">
      <c r="A9" s="6">
        <v>5</v>
      </c>
      <c r="B9"/>
      <c r="C9" s="15" t="s">
        <v>19</v>
      </c>
      <c r="D9" s="15" t="s">
        <v>46</v>
      </c>
      <c r="E9" s="11" t="s">
        <v>5</v>
      </c>
      <c r="F9" s="26" t="s">
        <v>139</v>
      </c>
      <c r="G9" s="52"/>
      <c r="H9" s="52"/>
      <c r="J9" s="6" t="s">
        <v>100</v>
      </c>
      <c r="K9" s="6" t="s">
        <v>101</v>
      </c>
      <c r="L9" s="6"/>
      <c r="M9" s="6"/>
      <c r="N9" s="6"/>
      <c r="O9" s="6"/>
      <c r="P9" s="6"/>
      <c r="Q9" s="6"/>
      <c r="R9" s="6"/>
      <c r="S9" s="6"/>
      <c r="T9" s="6"/>
      <c r="U9" s="6"/>
      <c r="X9" s="9">
        <f>X8+1</f>
        <v>5</v>
      </c>
      <c r="Y9" s="12"/>
      <c r="Z9" s="26" t="s">
        <v>173</v>
      </c>
      <c r="AA9" s="65"/>
    </row>
    <row r="10" spans="1:37" ht="30" customHeight="1">
      <c r="A10" s="6">
        <v>6</v>
      </c>
      <c r="B10"/>
      <c r="C10" s="15" t="s">
        <v>20</v>
      </c>
      <c r="D10" s="15" t="s">
        <v>47</v>
      </c>
      <c r="E10" s="11" t="s">
        <v>6</v>
      </c>
      <c r="F10" s="26" t="s">
        <v>140</v>
      </c>
      <c r="G10" s="52"/>
      <c r="H10" s="52"/>
      <c r="J10" s="6" t="s">
        <v>102</v>
      </c>
      <c r="K10" s="6" t="s">
        <v>103</v>
      </c>
      <c r="L10" s="6" t="s">
        <v>104</v>
      </c>
      <c r="M10" s="6"/>
      <c r="N10" s="6"/>
      <c r="O10" s="6"/>
      <c r="P10" s="6"/>
      <c r="Q10" s="6"/>
      <c r="R10" s="6"/>
      <c r="S10" s="6"/>
      <c r="T10" s="6"/>
      <c r="U10" s="6"/>
      <c r="X10" s="9">
        <f>X9+1</f>
        <v>6</v>
      </c>
      <c r="Y10" s="12"/>
      <c r="Z10" s="26" t="s">
        <v>174</v>
      </c>
      <c r="AA10" s="65"/>
    </row>
    <row r="11" spans="1:37" ht="30" customHeight="1">
      <c r="A11" s="6">
        <v>7</v>
      </c>
      <c r="B11"/>
      <c r="C11" s="15" t="s">
        <v>21</v>
      </c>
      <c r="D11" s="15" t="s">
        <v>48</v>
      </c>
      <c r="E11" s="11" t="s">
        <v>5</v>
      </c>
      <c r="F11" s="26" t="s">
        <v>141</v>
      </c>
      <c r="G11" s="52"/>
      <c r="H11" s="52"/>
      <c r="J11" s="6" t="s">
        <v>105</v>
      </c>
      <c r="K11" s="6" t="s">
        <v>106</v>
      </c>
      <c r="L11" s="6" t="s">
        <v>107</v>
      </c>
      <c r="M11" s="6"/>
      <c r="N11" s="6"/>
      <c r="O11" s="6"/>
      <c r="P11" s="6"/>
      <c r="Q11" s="6"/>
      <c r="R11" s="6"/>
      <c r="S11" s="6"/>
      <c r="T11" s="6"/>
      <c r="U11" s="6"/>
      <c r="X11" s="7">
        <f>X10+1</f>
        <v>7</v>
      </c>
      <c r="Y11" s="4"/>
      <c r="Z11" s="40" t="s">
        <v>175</v>
      </c>
      <c r="AA11" s="66"/>
    </row>
    <row r="12" spans="1:37" ht="30" customHeight="1">
      <c r="A12" s="6">
        <v>8</v>
      </c>
      <c r="B12"/>
      <c r="C12" s="15" t="s">
        <v>22</v>
      </c>
      <c r="D12" s="15" t="s">
        <v>49</v>
      </c>
      <c r="E12" s="11" t="s">
        <v>5</v>
      </c>
      <c r="F12" s="26" t="s">
        <v>142</v>
      </c>
      <c r="G12" s="52"/>
      <c r="H12" s="52"/>
      <c r="J12" s="6" t="str">
        <f>CONCATENATE("A",A12)</f>
        <v>A8</v>
      </c>
      <c r="K12" s="6" t="str">
        <f>CONCATENATE("B",A12)</f>
        <v>B8</v>
      </c>
      <c r="L12" s="6" t="str">
        <f>CONCATENATE("C",A12)</f>
        <v>C8</v>
      </c>
      <c r="M12" s="6"/>
      <c r="N12" s="6"/>
      <c r="O12" s="6"/>
      <c r="P12" s="6"/>
      <c r="Q12" s="6"/>
      <c r="R12" s="6"/>
      <c r="S12" s="6"/>
      <c r="T12" s="6"/>
      <c r="U12" s="6"/>
      <c r="X12" s="75">
        <f>X11+1</f>
        <v>8</v>
      </c>
      <c r="Y12" s="61"/>
      <c r="Z12" s="69" t="s">
        <v>176</v>
      </c>
      <c r="AA12" s="57" t="s">
        <v>167</v>
      </c>
    </row>
    <row r="13" spans="1:37" ht="30" customHeight="1">
      <c r="A13" s="7">
        <v>9</v>
      </c>
      <c r="B13" s="4"/>
      <c r="C13" s="14" t="s">
        <v>23</v>
      </c>
      <c r="D13" s="14" t="s">
        <v>50</v>
      </c>
      <c r="E13" s="7" t="s">
        <v>5</v>
      </c>
      <c r="F13" s="14" t="s">
        <v>143</v>
      </c>
      <c r="G13" s="53"/>
      <c r="H13" s="52"/>
      <c r="J13" s="6" t="str">
        <f>CONCATENATE("A",A13)</f>
        <v>A9</v>
      </c>
      <c r="K13" s="6" t="str">
        <f>CONCATENATE("B",A13)</f>
        <v>B9</v>
      </c>
      <c r="L13" s="6" t="str">
        <f>CONCATENATE("C",A13)</f>
        <v>C9</v>
      </c>
      <c r="M13" s="6"/>
      <c r="N13" s="6"/>
      <c r="O13" s="6"/>
      <c r="P13" s="6"/>
      <c r="Q13" s="6"/>
      <c r="R13" s="6"/>
      <c r="S13" s="6"/>
      <c r="T13" s="6"/>
      <c r="U13" s="6"/>
      <c r="X13" s="76"/>
      <c r="Y13" s="62"/>
      <c r="Z13" s="70"/>
      <c r="AA13" s="53"/>
    </row>
    <row r="14" spans="1:37" ht="30" customHeight="1">
      <c r="A14" s="6">
        <v>10</v>
      </c>
      <c r="B14"/>
      <c r="C14" s="24" t="s">
        <v>24</v>
      </c>
      <c r="D14" s="15" t="s">
        <v>14</v>
      </c>
      <c r="E14" s="11" t="s">
        <v>5</v>
      </c>
      <c r="F14" s="26" t="s">
        <v>136</v>
      </c>
      <c r="G14" s="57" t="s">
        <v>75</v>
      </c>
      <c r="H14" s="52"/>
      <c r="J14" s="6" t="str">
        <f>CONCATENATE("A",A14)</f>
        <v>A10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X14" s="60">
        <f>X12+1</f>
        <v>9</v>
      </c>
      <c r="Y14" s="63"/>
      <c r="Z14" s="67" t="s">
        <v>177</v>
      </c>
      <c r="AA14" s="57" t="s">
        <v>168</v>
      </c>
    </row>
    <row r="15" spans="1:37" ht="30" customHeight="1">
      <c r="A15" s="6">
        <v>11</v>
      </c>
      <c r="B15"/>
      <c r="C15" s="15" t="s">
        <v>25</v>
      </c>
      <c r="D15" s="15" t="s">
        <v>51</v>
      </c>
      <c r="E15" s="11" t="s">
        <v>5</v>
      </c>
      <c r="F15" s="26" t="s">
        <v>144</v>
      </c>
      <c r="G15" s="52"/>
      <c r="H15" s="52"/>
      <c r="J15" s="6" t="str">
        <f>CONCATENATE("A",A15)</f>
        <v>A11</v>
      </c>
      <c r="K15" s="6" t="str">
        <f t="shared" ref="K15:K39" si="0">CONCATENATE("B",A15)</f>
        <v>B11</v>
      </c>
      <c r="L15" s="6"/>
      <c r="M15" s="6"/>
      <c r="N15" s="6"/>
      <c r="O15" s="6"/>
      <c r="P15" s="6"/>
      <c r="Q15" s="6"/>
      <c r="R15" s="6"/>
      <c r="S15" s="6"/>
      <c r="T15" s="6"/>
      <c r="U15" s="6"/>
      <c r="X15" s="60"/>
      <c r="Y15" s="63"/>
      <c r="Z15" s="67"/>
      <c r="AA15" s="52"/>
    </row>
    <row r="16" spans="1:37" ht="30" customHeight="1">
      <c r="A16" s="6">
        <v>12</v>
      </c>
      <c r="B16"/>
      <c r="C16" s="15" t="s">
        <v>26</v>
      </c>
      <c r="D16" s="15" t="s">
        <v>52</v>
      </c>
      <c r="E16" s="11" t="s">
        <v>6</v>
      </c>
      <c r="F16" s="26" t="s">
        <v>138</v>
      </c>
      <c r="G16" s="52"/>
      <c r="H16" s="52"/>
      <c r="J16" s="6" t="str">
        <f t="shared" ref="J16:J39" si="1">CONCATENATE("A",A16)</f>
        <v>A12</v>
      </c>
      <c r="K16" s="6" t="str">
        <f t="shared" si="0"/>
        <v>B12</v>
      </c>
      <c r="L16" s="6"/>
      <c r="M16" s="6"/>
      <c r="N16" s="6"/>
      <c r="O16" s="6"/>
      <c r="P16" s="6"/>
      <c r="Q16" s="6"/>
      <c r="R16" s="6"/>
      <c r="S16" s="6"/>
      <c r="T16" s="6"/>
      <c r="U16" s="6"/>
      <c r="X16" s="60">
        <f>X14+1</f>
        <v>10</v>
      </c>
      <c r="Y16" s="63"/>
      <c r="Z16" s="71" t="s">
        <v>178</v>
      </c>
      <c r="AA16" s="52"/>
    </row>
    <row r="17" spans="1:27" ht="30" customHeight="1">
      <c r="A17" s="6">
        <v>13</v>
      </c>
      <c r="B17"/>
      <c r="C17" s="15" t="s">
        <v>27</v>
      </c>
      <c r="D17" s="15" t="s">
        <v>53</v>
      </c>
      <c r="E17" s="11" t="s">
        <v>5</v>
      </c>
      <c r="F17" s="26" t="s">
        <v>137</v>
      </c>
      <c r="G17" s="52"/>
      <c r="H17" s="52"/>
      <c r="J17" s="6" t="str">
        <f t="shared" si="1"/>
        <v>A13</v>
      </c>
      <c r="K17" s="6" t="str">
        <f t="shared" si="0"/>
        <v>B13</v>
      </c>
      <c r="L17" s="6"/>
      <c r="M17" s="6"/>
      <c r="N17" s="6"/>
      <c r="O17" s="6"/>
      <c r="P17" s="6"/>
      <c r="Q17" s="6"/>
      <c r="R17" s="6"/>
      <c r="S17" s="6"/>
      <c r="T17" s="6"/>
      <c r="U17" s="6"/>
      <c r="X17" s="60"/>
      <c r="Y17" s="63"/>
      <c r="Z17" s="71"/>
      <c r="AA17" s="52"/>
    </row>
    <row r="18" spans="1:27" ht="30" customHeight="1">
      <c r="A18" s="6">
        <v>14</v>
      </c>
      <c r="B18"/>
      <c r="C18" s="15" t="s">
        <v>28</v>
      </c>
      <c r="D18" s="15" t="s">
        <v>54</v>
      </c>
      <c r="E18" s="11" t="s">
        <v>5</v>
      </c>
      <c r="F18" s="26" t="s">
        <v>137</v>
      </c>
      <c r="G18" s="52"/>
      <c r="H18" s="52"/>
      <c r="J18" s="6" t="str">
        <f t="shared" si="1"/>
        <v>A14</v>
      </c>
      <c r="K18" s="6" t="str">
        <f t="shared" si="0"/>
        <v>B14</v>
      </c>
      <c r="L18" s="6"/>
      <c r="M18" s="6"/>
      <c r="N18" s="6"/>
      <c r="O18" s="6"/>
      <c r="P18" s="6"/>
      <c r="Q18" s="6"/>
      <c r="R18" s="6"/>
      <c r="S18" s="6"/>
      <c r="T18" s="6"/>
      <c r="U18" s="6"/>
      <c r="X18" s="60">
        <f>X16+1</f>
        <v>11</v>
      </c>
      <c r="Y18" s="63"/>
      <c r="Z18" s="67" t="s">
        <v>179</v>
      </c>
      <c r="AA18" s="52"/>
    </row>
    <row r="19" spans="1:27" ht="30" customHeight="1">
      <c r="A19" s="6">
        <v>15</v>
      </c>
      <c r="B19"/>
      <c r="C19" s="15" t="s">
        <v>29</v>
      </c>
      <c r="D19" s="15" t="s">
        <v>55</v>
      </c>
      <c r="E19" s="11" t="s">
        <v>5</v>
      </c>
      <c r="F19" s="26" t="s">
        <v>139</v>
      </c>
      <c r="G19" s="52"/>
      <c r="H19" s="52"/>
      <c r="J19" s="6" t="str">
        <f t="shared" si="1"/>
        <v>A15</v>
      </c>
      <c r="K19" s="6" t="str">
        <f t="shared" si="0"/>
        <v>B15</v>
      </c>
      <c r="L19" s="6"/>
      <c r="M19" s="6"/>
      <c r="N19" s="6"/>
      <c r="O19" s="6"/>
      <c r="P19" s="6"/>
      <c r="Q19" s="6"/>
      <c r="R19" s="6"/>
      <c r="S19" s="6"/>
      <c r="T19" s="6"/>
      <c r="U19" s="6"/>
      <c r="X19" s="60"/>
      <c r="Y19" s="63"/>
      <c r="Z19" s="67"/>
      <c r="AA19" s="52"/>
    </row>
    <row r="20" spans="1:27" ht="30" customHeight="1">
      <c r="A20" s="7">
        <v>16</v>
      </c>
      <c r="B20" s="4"/>
      <c r="C20" s="14" t="s">
        <v>30</v>
      </c>
      <c r="D20" s="14" t="s">
        <v>56</v>
      </c>
      <c r="E20" s="7" t="s">
        <v>5</v>
      </c>
      <c r="F20" s="14" t="s">
        <v>139</v>
      </c>
      <c r="G20" s="53"/>
      <c r="H20" s="52"/>
      <c r="J20" s="6" t="str">
        <f t="shared" si="1"/>
        <v>A16</v>
      </c>
      <c r="K20" s="6" t="str">
        <f t="shared" si="0"/>
        <v>B16</v>
      </c>
      <c r="L20" s="6"/>
      <c r="M20" s="6"/>
      <c r="N20" s="6"/>
      <c r="O20" s="6"/>
      <c r="P20" s="6"/>
      <c r="Q20" s="6"/>
      <c r="R20" s="6"/>
      <c r="S20" s="6"/>
      <c r="T20" s="6"/>
      <c r="U20" s="6"/>
      <c r="X20" s="60">
        <f>X18+1</f>
        <v>12</v>
      </c>
      <c r="Y20" s="64"/>
      <c r="Z20" s="67" t="s">
        <v>180</v>
      </c>
      <c r="AA20" s="52"/>
    </row>
    <row r="21" spans="1:27" ht="45" customHeight="1">
      <c r="A21" s="6">
        <v>17</v>
      </c>
      <c r="B21"/>
      <c r="C21" s="15" t="s">
        <v>31</v>
      </c>
      <c r="D21" s="15" t="s">
        <v>57</v>
      </c>
      <c r="E21" s="11" t="s">
        <v>6</v>
      </c>
      <c r="F21" s="26" t="s">
        <v>140</v>
      </c>
      <c r="G21" s="52" t="s">
        <v>76</v>
      </c>
      <c r="H21" s="52"/>
      <c r="J21" s="6" t="str">
        <f t="shared" si="1"/>
        <v>A17</v>
      </c>
      <c r="K21" s="6" t="str">
        <f t="shared" si="0"/>
        <v>B17</v>
      </c>
      <c r="L21" s="6" t="str">
        <f t="shared" ref="L21:L39" si="2">CONCATENATE("C",A21)</f>
        <v>C17</v>
      </c>
      <c r="M21" s="6"/>
      <c r="N21" s="6"/>
      <c r="O21" s="6"/>
      <c r="P21" s="6"/>
      <c r="Q21" s="6"/>
      <c r="R21" s="6"/>
      <c r="S21" s="6"/>
      <c r="T21" s="6"/>
      <c r="U21" s="6"/>
      <c r="X21" s="60"/>
      <c r="Y21" s="64"/>
      <c r="Z21" s="67"/>
      <c r="AA21" s="52"/>
    </row>
    <row r="22" spans="1:27" ht="45" customHeight="1">
      <c r="A22" s="6">
        <v>18</v>
      </c>
      <c r="B22"/>
      <c r="C22" s="15" t="s">
        <v>32</v>
      </c>
      <c r="D22" s="15" t="s">
        <v>58</v>
      </c>
      <c r="E22" s="11" t="s">
        <v>5</v>
      </c>
      <c r="F22" s="26" t="s">
        <v>157</v>
      </c>
      <c r="G22" s="52"/>
      <c r="H22" s="52"/>
      <c r="J22" s="6" t="str">
        <f t="shared" si="1"/>
        <v>A18</v>
      </c>
      <c r="K22" s="6" t="str">
        <f t="shared" si="0"/>
        <v>B18</v>
      </c>
      <c r="L22" s="6" t="str">
        <f t="shared" si="2"/>
        <v>C18</v>
      </c>
      <c r="M22" s="6"/>
      <c r="N22" s="6"/>
      <c r="O22" s="6"/>
      <c r="P22" s="6"/>
      <c r="Q22" s="6"/>
      <c r="R22" s="6"/>
      <c r="S22" s="6"/>
      <c r="T22" s="6"/>
      <c r="U22" s="6"/>
      <c r="X22" s="60">
        <f>X20+1</f>
        <v>13</v>
      </c>
      <c r="Y22" s="63"/>
      <c r="Z22" s="67" t="s">
        <v>181</v>
      </c>
      <c r="AA22" s="52"/>
    </row>
    <row r="23" spans="1:27" ht="45" customHeight="1" thickBot="1">
      <c r="A23" s="6">
        <v>19</v>
      </c>
      <c r="B23"/>
      <c r="C23" s="15" t="s">
        <v>33</v>
      </c>
      <c r="D23" s="15" t="s">
        <v>59</v>
      </c>
      <c r="E23" s="11" t="s">
        <v>5</v>
      </c>
      <c r="F23" s="26" t="s">
        <v>143</v>
      </c>
      <c r="G23" s="52"/>
      <c r="H23" s="52"/>
      <c r="J23" s="6" t="str">
        <f t="shared" si="1"/>
        <v>A19</v>
      </c>
      <c r="K23" s="6" t="str">
        <f t="shared" si="0"/>
        <v>B19</v>
      </c>
      <c r="L23" s="6" t="str">
        <f t="shared" si="2"/>
        <v>C19</v>
      </c>
      <c r="M23" s="6"/>
      <c r="N23" s="6"/>
      <c r="O23" s="6"/>
      <c r="P23" s="6"/>
      <c r="Q23" s="6"/>
      <c r="R23" s="6"/>
      <c r="S23" s="6"/>
      <c r="T23" s="6"/>
      <c r="U23" s="6"/>
      <c r="X23" s="74"/>
      <c r="Y23" s="73"/>
      <c r="Z23" s="68"/>
      <c r="AA23" s="72"/>
    </row>
    <row r="24" spans="1:27" ht="45" customHeight="1">
      <c r="A24" s="6">
        <v>20</v>
      </c>
      <c r="B24"/>
      <c r="C24" s="15" t="s">
        <v>34</v>
      </c>
      <c r="D24" s="15" t="s">
        <v>60</v>
      </c>
      <c r="E24" s="11" t="s">
        <v>5</v>
      </c>
      <c r="F24" s="26" t="s">
        <v>145</v>
      </c>
      <c r="G24" s="52"/>
      <c r="H24" s="52"/>
      <c r="J24" s="6" t="str">
        <f t="shared" si="1"/>
        <v>A20</v>
      </c>
      <c r="K24" s="6" t="str">
        <f t="shared" si="0"/>
        <v>B20</v>
      </c>
      <c r="L24" s="6" t="str">
        <f t="shared" si="2"/>
        <v>C20</v>
      </c>
      <c r="M24" s="6"/>
      <c r="N24" s="6"/>
      <c r="O24" s="6"/>
      <c r="P24" s="6"/>
      <c r="Q24" s="6"/>
      <c r="R24" s="6"/>
      <c r="S24" s="6"/>
      <c r="T24" s="6"/>
      <c r="U24" s="6"/>
    </row>
    <row r="25" spans="1:27" ht="45" customHeight="1">
      <c r="A25" s="6">
        <v>21</v>
      </c>
      <c r="B25"/>
      <c r="C25" s="15" t="s">
        <v>35</v>
      </c>
      <c r="D25" s="15" t="s">
        <v>61</v>
      </c>
      <c r="E25" s="11" t="s">
        <v>5</v>
      </c>
      <c r="F25" s="26" t="s">
        <v>142</v>
      </c>
      <c r="G25" s="52" t="s">
        <v>76</v>
      </c>
      <c r="H25" s="52" t="s">
        <v>7</v>
      </c>
      <c r="J25" s="6" t="str">
        <f t="shared" si="1"/>
        <v>A21</v>
      </c>
      <c r="K25" s="6" t="str">
        <f t="shared" si="0"/>
        <v>B21</v>
      </c>
      <c r="L25" s="6" t="str">
        <f t="shared" si="2"/>
        <v>C21</v>
      </c>
      <c r="M25" s="6"/>
      <c r="N25" s="6"/>
      <c r="O25" s="6"/>
      <c r="P25" s="6"/>
      <c r="Q25" s="6"/>
      <c r="R25" s="6"/>
      <c r="S25" s="6"/>
      <c r="T25" s="6"/>
      <c r="U25" s="6"/>
      <c r="X25" s="50" t="s">
        <v>188</v>
      </c>
      <c r="Y25" s="50"/>
      <c r="Z25" s="50"/>
      <c r="AA25" s="50"/>
    </row>
    <row r="26" spans="1:27" ht="45" customHeight="1" thickBot="1">
      <c r="A26" s="6">
        <v>22</v>
      </c>
      <c r="B26"/>
      <c r="C26" s="15" t="s">
        <v>36</v>
      </c>
      <c r="D26" s="15" t="s">
        <v>62</v>
      </c>
      <c r="E26" s="11" t="s">
        <v>6</v>
      </c>
      <c r="F26" s="26" t="s">
        <v>140</v>
      </c>
      <c r="G26" s="52"/>
      <c r="H26" s="52"/>
      <c r="J26" s="6" t="str">
        <f t="shared" si="1"/>
        <v>A22</v>
      </c>
      <c r="K26" s="6" t="str">
        <f t="shared" si="0"/>
        <v>B22</v>
      </c>
      <c r="L26" s="6" t="str">
        <f t="shared" si="2"/>
        <v>C22</v>
      </c>
      <c r="M26" s="6"/>
      <c r="N26" s="6"/>
      <c r="O26" s="6"/>
      <c r="P26" s="6"/>
      <c r="Q26" s="6"/>
      <c r="R26" s="6"/>
      <c r="S26" s="6"/>
      <c r="T26" s="6"/>
      <c r="U26" s="6"/>
      <c r="X26" s="49" t="s">
        <v>0</v>
      </c>
      <c r="Y26" s="49" t="s">
        <v>182</v>
      </c>
      <c r="Z26" s="49" t="s">
        <v>166</v>
      </c>
      <c r="AA26" s="49" t="s">
        <v>74</v>
      </c>
    </row>
    <row r="27" spans="1:27" ht="45" customHeight="1">
      <c r="A27" s="6">
        <v>23</v>
      </c>
      <c r="B27"/>
      <c r="C27" s="15" t="s">
        <v>37</v>
      </c>
      <c r="D27" s="15" t="s">
        <v>63</v>
      </c>
      <c r="E27" s="11" t="s">
        <v>5</v>
      </c>
      <c r="F27" s="26" t="s">
        <v>141</v>
      </c>
      <c r="G27" s="52"/>
      <c r="H27" s="52"/>
      <c r="J27" s="6" t="str">
        <f t="shared" si="1"/>
        <v>A23</v>
      </c>
      <c r="K27" s="6" t="str">
        <f t="shared" si="0"/>
        <v>B23</v>
      </c>
      <c r="L27" s="6" t="str">
        <f t="shared" si="2"/>
        <v>C23</v>
      </c>
      <c r="M27" s="6"/>
      <c r="N27" s="6"/>
      <c r="O27" s="6"/>
      <c r="P27" s="6"/>
      <c r="Q27" s="6"/>
      <c r="R27" s="6"/>
      <c r="S27" s="6"/>
      <c r="T27" s="6"/>
      <c r="U27" s="6"/>
      <c r="X27" s="6">
        <v>14</v>
      </c>
      <c r="Z27" s="6" t="s">
        <v>190</v>
      </c>
      <c r="AA27" s="51" t="s">
        <v>189</v>
      </c>
    </row>
    <row r="28" spans="1:27" ht="45" customHeight="1">
      <c r="A28" s="7">
        <v>24</v>
      </c>
      <c r="B28" s="4"/>
      <c r="C28" s="14" t="s">
        <v>38</v>
      </c>
      <c r="D28" s="14" t="s">
        <v>64</v>
      </c>
      <c r="E28" s="7" t="s">
        <v>5</v>
      </c>
      <c r="F28" s="14" t="s">
        <v>143</v>
      </c>
      <c r="G28" s="53"/>
      <c r="H28" s="52"/>
      <c r="J28" s="6" t="str">
        <f t="shared" si="1"/>
        <v>A24</v>
      </c>
      <c r="K28" s="6" t="str">
        <f t="shared" si="0"/>
        <v>B24</v>
      </c>
      <c r="L28" s="6" t="str">
        <f t="shared" si="2"/>
        <v>C24</v>
      </c>
      <c r="M28" s="6"/>
      <c r="N28" s="6"/>
      <c r="O28" s="6"/>
      <c r="P28" s="6"/>
      <c r="Q28" s="6"/>
      <c r="R28" s="6"/>
      <c r="S28" s="6"/>
      <c r="T28" s="6"/>
      <c r="U28" s="6"/>
      <c r="X28" s="6">
        <v>15</v>
      </c>
      <c r="Z28" s="6" t="s">
        <v>191</v>
      </c>
      <c r="AA28" s="52"/>
    </row>
    <row r="29" spans="1:27" ht="60" customHeight="1">
      <c r="A29" s="6">
        <v>25</v>
      </c>
      <c r="B29"/>
      <c r="C29" s="15" t="s">
        <v>120</v>
      </c>
      <c r="D29" s="15" t="s">
        <v>65</v>
      </c>
      <c r="E29" s="11" t="s">
        <v>6</v>
      </c>
      <c r="F29" s="26" t="s">
        <v>146</v>
      </c>
      <c r="G29" s="57" t="s">
        <v>3</v>
      </c>
      <c r="H29" s="52"/>
      <c r="J29" s="6" t="str">
        <f t="shared" si="1"/>
        <v>A25</v>
      </c>
      <c r="K29" s="6" t="str">
        <f t="shared" si="0"/>
        <v>B25</v>
      </c>
      <c r="L29" s="6" t="str">
        <f t="shared" si="2"/>
        <v>C25</v>
      </c>
      <c r="M29" s="6" t="str">
        <f t="shared" ref="M29:M39" si="3">CONCATENATE("D",A29)</f>
        <v>D25</v>
      </c>
      <c r="N29" s="6"/>
      <c r="O29" s="6"/>
      <c r="P29" s="6"/>
      <c r="Q29" s="6"/>
      <c r="R29" s="6"/>
      <c r="S29" s="6"/>
      <c r="T29" s="6"/>
      <c r="U29" s="6"/>
      <c r="X29" s="6">
        <v>16</v>
      </c>
      <c r="Z29" s="6" t="s">
        <v>192</v>
      </c>
      <c r="AA29" s="53"/>
    </row>
    <row r="30" spans="1:27" ht="60" customHeight="1">
      <c r="A30" s="6">
        <v>26</v>
      </c>
      <c r="B30"/>
      <c r="C30" s="15" t="s">
        <v>121</v>
      </c>
      <c r="D30" s="15" t="s">
        <v>66</v>
      </c>
      <c r="E30" s="11" t="s">
        <v>6</v>
      </c>
      <c r="F30" s="26" t="s">
        <v>146</v>
      </c>
      <c r="G30" s="52"/>
      <c r="H30" s="52"/>
      <c r="J30" s="6" t="str">
        <f t="shared" si="1"/>
        <v>A26</v>
      </c>
      <c r="K30" s="6" t="str">
        <f t="shared" si="0"/>
        <v>B26</v>
      </c>
      <c r="L30" s="6" t="str">
        <f t="shared" si="2"/>
        <v>C26</v>
      </c>
      <c r="M30" s="6" t="str">
        <f t="shared" si="3"/>
        <v>D26</v>
      </c>
      <c r="N30" s="6"/>
      <c r="O30" s="6"/>
      <c r="P30" s="6"/>
      <c r="Q30" s="6"/>
      <c r="R30" s="6"/>
      <c r="S30" s="6"/>
      <c r="T30" s="6"/>
      <c r="U30" s="6"/>
    </row>
    <row r="31" spans="1:27" ht="60" customHeight="1">
      <c r="A31" s="6">
        <v>27</v>
      </c>
      <c r="B31"/>
      <c r="C31" s="15" t="s">
        <v>122</v>
      </c>
      <c r="D31" s="15" t="s">
        <v>132</v>
      </c>
      <c r="E31" s="11" t="s">
        <v>6</v>
      </c>
      <c r="F31" s="26" t="s">
        <v>147</v>
      </c>
      <c r="G31" s="52"/>
      <c r="H31" s="52"/>
      <c r="J31" s="6" t="str">
        <f t="shared" si="1"/>
        <v>A27</v>
      </c>
      <c r="K31" s="6" t="str">
        <f t="shared" si="0"/>
        <v>B27</v>
      </c>
      <c r="L31" s="6" t="str">
        <f t="shared" si="2"/>
        <v>C27</v>
      </c>
      <c r="M31" s="6" t="str">
        <f t="shared" si="3"/>
        <v>D27</v>
      </c>
      <c r="N31" s="6" t="str">
        <f>CONCATENATE("E",A31)</f>
        <v>E27</v>
      </c>
      <c r="O31" s="6"/>
      <c r="P31" s="6"/>
      <c r="Q31" s="6"/>
      <c r="R31" s="6"/>
      <c r="S31" s="6"/>
      <c r="T31" s="6"/>
      <c r="U31" s="6"/>
    </row>
    <row r="32" spans="1:27" ht="60" customHeight="1">
      <c r="A32" s="6">
        <v>28</v>
      </c>
      <c r="B32"/>
      <c r="C32" s="15" t="s">
        <v>39</v>
      </c>
      <c r="D32" s="15" t="s">
        <v>123</v>
      </c>
      <c r="E32" s="11" t="s">
        <v>6</v>
      </c>
      <c r="F32" s="26" t="s">
        <v>148</v>
      </c>
      <c r="G32" s="52"/>
      <c r="H32" s="52"/>
      <c r="J32" s="6" t="str">
        <f t="shared" si="1"/>
        <v>A28</v>
      </c>
      <c r="K32" s="6" t="str">
        <f t="shared" si="0"/>
        <v>B28</v>
      </c>
      <c r="L32" s="6" t="str">
        <f t="shared" si="2"/>
        <v>C28</v>
      </c>
      <c r="M32" s="6" t="str">
        <f t="shared" si="3"/>
        <v>D28</v>
      </c>
      <c r="N32" s="6" t="str">
        <f>CONCATENATE("E",A32)</f>
        <v>E28</v>
      </c>
      <c r="O32" s="6" t="str">
        <f>CONCATENATE("F",A32)</f>
        <v>F28</v>
      </c>
      <c r="P32" s="6"/>
      <c r="Q32" s="6"/>
      <c r="R32" s="6"/>
      <c r="S32" s="6"/>
      <c r="T32" s="6"/>
      <c r="U32" s="6"/>
    </row>
    <row r="33" spans="1:21" ht="60" customHeight="1">
      <c r="A33" s="6">
        <v>29</v>
      </c>
      <c r="B33"/>
      <c r="C33" s="15" t="s">
        <v>40</v>
      </c>
      <c r="D33" s="15" t="s">
        <v>124</v>
      </c>
      <c r="E33" s="11" t="s">
        <v>6</v>
      </c>
      <c r="F33" s="26" t="s">
        <v>148</v>
      </c>
      <c r="G33" s="52"/>
      <c r="H33" s="52"/>
      <c r="J33" s="6" t="str">
        <f t="shared" si="1"/>
        <v>A29</v>
      </c>
      <c r="K33" s="6" t="str">
        <f t="shared" si="0"/>
        <v>B29</v>
      </c>
      <c r="L33" s="6" t="str">
        <f t="shared" si="2"/>
        <v>C29</v>
      </c>
      <c r="M33" s="6" t="str">
        <f t="shared" si="3"/>
        <v>D29</v>
      </c>
      <c r="N33" s="6" t="str">
        <f>CONCATENATE("E",A33)</f>
        <v>E29</v>
      </c>
      <c r="O33" s="6" t="str">
        <f>CONCATENATE("F",A33)</f>
        <v>F29</v>
      </c>
      <c r="P33" s="6"/>
      <c r="Q33" s="6"/>
      <c r="R33" s="6"/>
      <c r="S33" s="6"/>
      <c r="T33" s="6"/>
      <c r="U33" s="6"/>
    </row>
    <row r="34" spans="1:21" ht="60" customHeight="1">
      <c r="A34" s="9">
        <v>30</v>
      </c>
      <c r="B34" s="12"/>
      <c r="C34" s="16" t="s">
        <v>41</v>
      </c>
      <c r="D34" s="16" t="s">
        <v>72</v>
      </c>
      <c r="E34" s="9" t="s">
        <v>6</v>
      </c>
      <c r="F34" s="26" t="s">
        <v>149</v>
      </c>
      <c r="G34" s="52"/>
      <c r="H34" s="52"/>
      <c r="J34" s="6" t="str">
        <f t="shared" si="1"/>
        <v>A30</v>
      </c>
      <c r="K34" s="6" t="str">
        <f t="shared" si="0"/>
        <v>B30</v>
      </c>
      <c r="L34" s="6" t="str">
        <f t="shared" si="2"/>
        <v>C30</v>
      </c>
      <c r="M34" s="6" t="str">
        <f t="shared" si="3"/>
        <v>D30</v>
      </c>
      <c r="N34" s="6" t="str">
        <f>CONCATENATE("E",A34)</f>
        <v>E30</v>
      </c>
      <c r="O34" s="6" t="str">
        <f>CONCATENATE("F",A34)</f>
        <v>F30</v>
      </c>
      <c r="P34" s="6" t="str">
        <f>CONCATENATE("G",A34)</f>
        <v>G30</v>
      </c>
      <c r="Q34" s="6"/>
      <c r="R34" s="6"/>
      <c r="S34" s="6"/>
      <c r="T34" s="6"/>
      <c r="U34" s="6"/>
    </row>
    <row r="35" spans="1:21" ht="61.5" customHeight="1">
      <c r="A35" s="7">
        <v>31</v>
      </c>
      <c r="B35" s="4"/>
      <c r="C35" s="14" t="s">
        <v>117</v>
      </c>
      <c r="D35" s="14" t="s">
        <v>125</v>
      </c>
      <c r="E35" s="13" t="s">
        <v>6</v>
      </c>
      <c r="F35" s="27" t="s">
        <v>148</v>
      </c>
      <c r="G35" s="53"/>
      <c r="H35" s="52"/>
      <c r="J35" s="6" t="str">
        <f t="shared" si="1"/>
        <v>A31</v>
      </c>
      <c r="K35" s="6" t="str">
        <f t="shared" si="0"/>
        <v>B31</v>
      </c>
      <c r="L35" s="6" t="str">
        <f t="shared" si="2"/>
        <v>C31</v>
      </c>
      <c r="M35" s="6" t="str">
        <f t="shared" si="3"/>
        <v>D31</v>
      </c>
      <c r="N35" s="6" t="str">
        <f>CONCATENATE("E",A35)</f>
        <v>E31</v>
      </c>
      <c r="O35" s="6" t="str">
        <f>CONCATENATE("F",A35)</f>
        <v>F31</v>
      </c>
      <c r="P35" s="6"/>
      <c r="Q35" s="6"/>
      <c r="R35" s="6"/>
      <c r="S35" s="6"/>
      <c r="T35" s="6"/>
      <c r="U35" s="6"/>
    </row>
    <row r="36" spans="1:21" ht="60" customHeight="1">
      <c r="A36" s="6">
        <v>32</v>
      </c>
      <c r="B36"/>
      <c r="C36" s="15" t="s">
        <v>118</v>
      </c>
      <c r="D36" s="15" t="s">
        <v>67</v>
      </c>
      <c r="E36" s="11" t="s">
        <v>5</v>
      </c>
      <c r="F36" s="26" t="s">
        <v>150</v>
      </c>
      <c r="G36" s="57" t="s">
        <v>4</v>
      </c>
      <c r="H36" s="52"/>
      <c r="J36" s="6" t="str">
        <f t="shared" si="1"/>
        <v>A32</v>
      </c>
      <c r="K36" s="6" t="str">
        <f t="shared" si="0"/>
        <v>B32</v>
      </c>
      <c r="L36" s="6" t="str">
        <f t="shared" si="2"/>
        <v>C32</v>
      </c>
      <c r="M36" s="6" t="str">
        <f t="shared" si="3"/>
        <v>D32</v>
      </c>
      <c r="N36" s="6"/>
      <c r="O36" s="6"/>
      <c r="P36" s="6"/>
      <c r="Q36" s="6"/>
      <c r="R36" s="6"/>
      <c r="S36" s="6"/>
      <c r="T36" s="6"/>
      <c r="U36" s="6"/>
    </row>
    <row r="37" spans="1:21" ht="60" customHeight="1">
      <c r="A37" s="6">
        <v>33</v>
      </c>
      <c r="B37"/>
      <c r="C37" s="15" t="s">
        <v>119</v>
      </c>
      <c r="D37" s="15" t="s">
        <v>127</v>
      </c>
      <c r="E37" s="11" t="s">
        <v>5</v>
      </c>
      <c r="F37" s="26" t="s">
        <v>151</v>
      </c>
      <c r="G37" s="52"/>
      <c r="H37" s="52"/>
      <c r="J37" s="6" t="str">
        <f t="shared" si="1"/>
        <v>A33</v>
      </c>
      <c r="K37" s="6" t="str">
        <f t="shared" si="0"/>
        <v>B33</v>
      </c>
      <c r="L37" s="6" t="str">
        <f t="shared" si="2"/>
        <v>C33</v>
      </c>
      <c r="M37" s="6" t="str">
        <f t="shared" si="3"/>
        <v>D33</v>
      </c>
      <c r="N37" s="6" t="str">
        <f>CONCATENATE("E",A37)</f>
        <v>E33</v>
      </c>
      <c r="O37" s="6"/>
      <c r="P37" s="6"/>
      <c r="Q37" s="6"/>
      <c r="R37" s="6"/>
      <c r="S37" s="6"/>
      <c r="T37" s="6"/>
      <c r="U37" s="6"/>
    </row>
    <row r="38" spans="1:21" ht="60" customHeight="1">
      <c r="A38" s="6">
        <v>34</v>
      </c>
      <c r="B38"/>
      <c r="C38" s="15" t="s">
        <v>42</v>
      </c>
      <c r="D38" s="15" t="s">
        <v>126</v>
      </c>
      <c r="E38" s="11" t="s">
        <v>5</v>
      </c>
      <c r="F38" s="26" t="s">
        <v>152</v>
      </c>
      <c r="G38" s="52" t="s">
        <v>4</v>
      </c>
      <c r="H38" s="52"/>
      <c r="J38" s="6" t="str">
        <f t="shared" si="1"/>
        <v>A34</v>
      </c>
      <c r="K38" s="6" t="str">
        <f t="shared" si="0"/>
        <v>B34</v>
      </c>
      <c r="L38" s="6" t="str">
        <f t="shared" si="2"/>
        <v>C34</v>
      </c>
      <c r="M38" s="6" t="str">
        <f t="shared" si="3"/>
        <v>D34</v>
      </c>
      <c r="N38" s="6" t="str">
        <f>CONCATENATE("E",A38)</f>
        <v>E34</v>
      </c>
      <c r="O38" s="6" t="str">
        <f>CONCATENATE("F",A38)</f>
        <v>F34</v>
      </c>
      <c r="P38" s="6"/>
      <c r="Q38" s="6"/>
      <c r="R38" s="6"/>
      <c r="S38" s="6"/>
      <c r="T38" s="6"/>
      <c r="U38" s="6"/>
    </row>
    <row r="39" spans="1:21" ht="60" customHeight="1">
      <c r="A39" s="7">
        <v>35</v>
      </c>
      <c r="B39" s="4"/>
      <c r="C39" s="14" t="s">
        <v>43</v>
      </c>
      <c r="D39" s="14" t="s">
        <v>128</v>
      </c>
      <c r="E39" s="7" t="s">
        <v>5</v>
      </c>
      <c r="F39" s="14" t="s">
        <v>158</v>
      </c>
      <c r="G39" s="53"/>
      <c r="H39" s="53"/>
      <c r="J39" s="6" t="str">
        <f t="shared" si="1"/>
        <v>A35</v>
      </c>
      <c r="K39" s="6" t="str">
        <f t="shared" si="0"/>
        <v>B35</v>
      </c>
      <c r="L39" s="6" t="str">
        <f t="shared" si="2"/>
        <v>C35</v>
      </c>
      <c r="M39" s="6" t="str">
        <f t="shared" si="3"/>
        <v>D35</v>
      </c>
      <c r="N39" s="6" t="str">
        <f>CONCATENATE("E",A39)</f>
        <v>E35</v>
      </c>
      <c r="O39" s="6" t="str">
        <f>CONCATENATE("F",A39)</f>
        <v>F35</v>
      </c>
      <c r="P39" s="6"/>
      <c r="Q39" s="6"/>
      <c r="R39" s="6"/>
      <c r="S39" s="6"/>
      <c r="T39" s="6"/>
      <c r="U39" s="6"/>
    </row>
    <row r="40" spans="1:21" ht="45" customHeight="1">
      <c r="A40" s="6">
        <v>36</v>
      </c>
      <c r="B40"/>
      <c r="C40" s="15" t="s">
        <v>15</v>
      </c>
      <c r="D40" s="15" t="s">
        <v>14</v>
      </c>
      <c r="E40" s="6" t="s">
        <v>6</v>
      </c>
      <c r="F40" s="25" t="s">
        <v>138</v>
      </c>
      <c r="G40" s="57" t="s">
        <v>8</v>
      </c>
      <c r="H40" s="57" t="s">
        <v>12</v>
      </c>
      <c r="J40" s="6" t="str">
        <f>CONCATENATE("A",A40,"_1")</f>
        <v>A36_1</v>
      </c>
      <c r="K40" s="6"/>
      <c r="L40" s="6"/>
      <c r="M40" s="6"/>
      <c r="N40" s="6"/>
      <c r="O40" s="6"/>
      <c r="P40" s="6"/>
      <c r="Q40" s="6"/>
      <c r="R40" s="6"/>
      <c r="S40" s="6" t="str">
        <f t="shared" ref="S40:S54" si="4">CONCATENATE("A",A40,"_2")</f>
        <v>A36_2</v>
      </c>
      <c r="T40" s="6"/>
      <c r="U40" s="6"/>
    </row>
    <row r="41" spans="1:21" ht="45" customHeight="1">
      <c r="A41" s="6">
        <v>37</v>
      </c>
      <c r="B41"/>
      <c r="C41" s="15" t="s">
        <v>79</v>
      </c>
      <c r="D41" s="15" t="s">
        <v>80</v>
      </c>
      <c r="E41" s="6" t="s">
        <v>6</v>
      </c>
      <c r="F41" s="16" t="s">
        <v>138</v>
      </c>
      <c r="G41" s="52"/>
      <c r="H41" s="52"/>
      <c r="J41" s="6" t="str">
        <f>CONCATENATE("A",A41,"_1")</f>
        <v>A37_1</v>
      </c>
      <c r="K41" s="6"/>
      <c r="L41" s="6"/>
      <c r="M41" s="6"/>
      <c r="N41" s="6"/>
      <c r="O41" s="6"/>
      <c r="P41" s="6"/>
      <c r="Q41" s="6"/>
      <c r="R41" s="6"/>
      <c r="S41" s="6" t="str">
        <f t="shared" si="4"/>
        <v>A37_2</v>
      </c>
      <c r="T41" s="6"/>
      <c r="U41" s="6"/>
    </row>
    <row r="42" spans="1:21" ht="45" customHeight="1">
      <c r="A42" s="7">
        <v>38</v>
      </c>
      <c r="B42" s="4"/>
      <c r="C42" s="14" t="s">
        <v>81</v>
      </c>
      <c r="D42" s="14" t="s">
        <v>82</v>
      </c>
      <c r="E42" s="7" t="s">
        <v>5</v>
      </c>
      <c r="F42" s="14" t="s">
        <v>139</v>
      </c>
      <c r="G42" s="53"/>
      <c r="H42" s="52"/>
      <c r="J42" s="6" t="str">
        <f>CONCATENATE("A",A42,"_1")</f>
        <v>A38_1</v>
      </c>
      <c r="K42" s="6"/>
      <c r="L42" s="6"/>
      <c r="M42" s="6"/>
      <c r="N42" s="6"/>
      <c r="O42" s="6"/>
      <c r="P42" s="6"/>
      <c r="Q42" s="6"/>
      <c r="R42" s="6"/>
      <c r="S42" s="6" t="str">
        <f t="shared" si="4"/>
        <v>A38_2</v>
      </c>
      <c r="T42" s="6"/>
      <c r="U42" s="6"/>
    </row>
    <row r="43" spans="1:21" ht="45" customHeight="1">
      <c r="A43" s="6">
        <v>39</v>
      </c>
      <c r="C43" s="15" t="s">
        <v>83</v>
      </c>
      <c r="D43" s="15" t="s">
        <v>84</v>
      </c>
      <c r="E43" s="6" t="s">
        <v>6</v>
      </c>
      <c r="F43" s="16" t="s">
        <v>140</v>
      </c>
      <c r="G43" s="57" t="s">
        <v>9</v>
      </c>
      <c r="H43" s="52"/>
      <c r="J43" s="6" t="s">
        <v>108</v>
      </c>
      <c r="K43" s="6" t="str">
        <f t="shared" ref="K43:K54" si="5">CONCATENATE("B",A43)</f>
        <v>B39</v>
      </c>
      <c r="L43" s="6"/>
      <c r="M43" s="6"/>
      <c r="N43" s="6"/>
      <c r="O43" s="6"/>
      <c r="P43" s="6"/>
      <c r="Q43" s="6"/>
      <c r="R43" s="6"/>
      <c r="S43" s="6" t="str">
        <f t="shared" si="4"/>
        <v>A39_2</v>
      </c>
      <c r="T43" s="6"/>
      <c r="U43" s="6"/>
    </row>
    <row r="44" spans="1:21" ht="45" customHeight="1">
      <c r="A44" s="6">
        <v>40</v>
      </c>
      <c r="C44" s="15" t="s">
        <v>85</v>
      </c>
      <c r="D44" s="15" t="s">
        <v>68</v>
      </c>
      <c r="E44" s="6" t="s">
        <v>6</v>
      </c>
      <c r="F44" s="16" t="s">
        <v>140</v>
      </c>
      <c r="G44" s="52"/>
      <c r="H44" s="52"/>
      <c r="J44" s="6" t="str">
        <f t="shared" ref="J44:J54" si="6">CONCATENATE("A",A44,"_1")</f>
        <v>A40_1</v>
      </c>
      <c r="K44" s="6" t="str">
        <f t="shared" si="5"/>
        <v>B40</v>
      </c>
      <c r="L44" s="6"/>
      <c r="M44" s="6"/>
      <c r="N44" s="6"/>
      <c r="O44" s="6"/>
      <c r="P44" s="6"/>
      <c r="Q44" s="6"/>
      <c r="R44" s="6"/>
      <c r="S44" s="6" t="str">
        <f t="shared" si="4"/>
        <v>A40_2</v>
      </c>
      <c r="T44" s="6"/>
      <c r="U44" s="6"/>
    </row>
    <row r="45" spans="1:21" ht="45" customHeight="1">
      <c r="A45" s="6">
        <v>41</v>
      </c>
      <c r="C45" s="15" t="s">
        <v>86</v>
      </c>
      <c r="D45" s="15" t="s">
        <v>69</v>
      </c>
      <c r="E45" s="6" t="s">
        <v>6</v>
      </c>
      <c r="F45" s="16" t="s">
        <v>146</v>
      </c>
      <c r="G45" s="52"/>
      <c r="H45" s="52"/>
      <c r="J45" s="6" t="str">
        <f t="shared" si="6"/>
        <v>A41_1</v>
      </c>
      <c r="K45" s="6" t="str">
        <f t="shared" si="5"/>
        <v>B41</v>
      </c>
      <c r="L45" s="6" t="str">
        <f t="shared" ref="L45:L54" si="7">CONCATENATE("C",A45)</f>
        <v>C41</v>
      </c>
      <c r="M45" s="6"/>
      <c r="N45" s="6"/>
      <c r="O45" s="6"/>
      <c r="P45" s="6"/>
      <c r="Q45" s="6"/>
      <c r="R45" s="6"/>
      <c r="S45" s="6" t="str">
        <f t="shared" si="4"/>
        <v>A41_2</v>
      </c>
      <c r="T45" s="6"/>
      <c r="U45" s="6"/>
    </row>
    <row r="46" spans="1:21" ht="45" customHeight="1">
      <c r="A46" s="6">
        <v>42</v>
      </c>
      <c r="C46" s="15" t="s">
        <v>87</v>
      </c>
      <c r="D46" s="15" t="s">
        <v>70</v>
      </c>
      <c r="E46" s="6" t="s">
        <v>6</v>
      </c>
      <c r="F46" s="16" t="s">
        <v>146</v>
      </c>
      <c r="G46" s="52"/>
      <c r="H46" s="52"/>
      <c r="J46" s="6" t="str">
        <f t="shared" si="6"/>
        <v>A42_1</v>
      </c>
      <c r="K46" s="6" t="str">
        <f t="shared" si="5"/>
        <v>B42</v>
      </c>
      <c r="L46" s="6" t="str">
        <f t="shared" si="7"/>
        <v>C42</v>
      </c>
      <c r="M46" s="6"/>
      <c r="N46" s="6"/>
      <c r="O46" s="6"/>
      <c r="P46" s="6"/>
      <c r="Q46" s="6"/>
      <c r="R46" s="6"/>
      <c r="S46" s="6" t="str">
        <f t="shared" si="4"/>
        <v>A42_2</v>
      </c>
      <c r="T46" s="6"/>
      <c r="U46" s="6"/>
    </row>
    <row r="47" spans="1:21" ht="45" customHeight="1">
      <c r="A47" s="6">
        <v>43</v>
      </c>
      <c r="C47" s="15" t="s">
        <v>88</v>
      </c>
      <c r="D47" s="15" t="s">
        <v>89</v>
      </c>
      <c r="E47" s="6" t="s">
        <v>6</v>
      </c>
      <c r="F47" s="16" t="s">
        <v>146</v>
      </c>
      <c r="G47" s="52"/>
      <c r="H47" s="52"/>
      <c r="J47" s="6" t="str">
        <f t="shared" si="6"/>
        <v>A43_1</v>
      </c>
      <c r="K47" s="6" t="str">
        <f t="shared" si="5"/>
        <v>B43</v>
      </c>
      <c r="L47" s="6" t="str">
        <f t="shared" si="7"/>
        <v>C43</v>
      </c>
      <c r="M47" s="6"/>
      <c r="N47" s="6"/>
      <c r="O47" s="6"/>
      <c r="P47" s="6"/>
      <c r="Q47" s="6"/>
      <c r="R47" s="6"/>
      <c r="S47" s="6" t="str">
        <f t="shared" si="4"/>
        <v>A43_2</v>
      </c>
      <c r="T47" s="6"/>
      <c r="U47" s="6"/>
    </row>
    <row r="48" spans="1:21" ht="45" customHeight="1">
      <c r="A48" s="6">
        <v>44</v>
      </c>
      <c r="C48" s="15" t="s">
        <v>90</v>
      </c>
      <c r="D48" s="15" t="s">
        <v>71</v>
      </c>
      <c r="E48" s="6" t="s">
        <v>5</v>
      </c>
      <c r="F48" s="16" t="s">
        <v>153</v>
      </c>
      <c r="G48" s="52"/>
      <c r="H48" s="52"/>
      <c r="J48" s="6" t="str">
        <f t="shared" si="6"/>
        <v>A44_1</v>
      </c>
      <c r="K48" s="6" t="str">
        <f t="shared" si="5"/>
        <v>B44</v>
      </c>
      <c r="L48" s="6" t="str">
        <f t="shared" si="7"/>
        <v>C44</v>
      </c>
      <c r="M48" s="6"/>
      <c r="N48" s="6"/>
      <c r="O48" s="6"/>
      <c r="P48" s="6"/>
      <c r="Q48" s="6"/>
      <c r="R48" s="6"/>
      <c r="S48" s="6" t="str">
        <f t="shared" si="4"/>
        <v>A44_2</v>
      </c>
      <c r="T48" s="6"/>
      <c r="U48" s="6"/>
    </row>
    <row r="49" spans="1:23" ht="45" customHeight="1">
      <c r="A49" s="7">
        <v>45</v>
      </c>
      <c r="B49" s="3"/>
      <c r="C49" s="14" t="s">
        <v>91</v>
      </c>
      <c r="D49" s="14" t="s">
        <v>77</v>
      </c>
      <c r="E49" s="7" t="s">
        <v>5</v>
      </c>
      <c r="F49" s="14" t="s">
        <v>154</v>
      </c>
      <c r="G49" s="53"/>
      <c r="H49" s="52"/>
      <c r="J49" s="6" t="str">
        <f t="shared" si="6"/>
        <v>A45_1</v>
      </c>
      <c r="K49" s="6" t="str">
        <f t="shared" si="5"/>
        <v>B45</v>
      </c>
      <c r="L49" s="6" t="str">
        <f t="shared" si="7"/>
        <v>C45</v>
      </c>
      <c r="M49" s="6"/>
      <c r="N49" s="6"/>
      <c r="O49" s="6"/>
      <c r="P49" s="6"/>
      <c r="Q49" s="6"/>
      <c r="R49" s="6"/>
      <c r="S49" s="6" t="str">
        <f t="shared" si="4"/>
        <v>A45_2</v>
      </c>
      <c r="T49" s="6"/>
      <c r="U49" s="6"/>
    </row>
    <row r="50" spans="1:23" ht="45" customHeight="1">
      <c r="A50" s="6">
        <v>46</v>
      </c>
      <c r="C50" s="15" t="s">
        <v>92</v>
      </c>
      <c r="D50" s="15" t="s">
        <v>129</v>
      </c>
      <c r="E50" s="6" t="s">
        <v>6</v>
      </c>
      <c r="F50" s="16" t="s">
        <v>148</v>
      </c>
      <c r="G50" s="52" t="s">
        <v>10</v>
      </c>
      <c r="H50" s="52"/>
      <c r="J50" s="6" t="str">
        <f t="shared" si="6"/>
        <v>A46_1</v>
      </c>
      <c r="K50" s="6" t="str">
        <f t="shared" si="5"/>
        <v>B46</v>
      </c>
      <c r="L50" s="6" t="str">
        <f t="shared" si="7"/>
        <v>C46</v>
      </c>
      <c r="M50" s="6" t="str">
        <f>CONCATENATE("D",A50)</f>
        <v>D46</v>
      </c>
      <c r="N50" s="6" t="str">
        <f>CONCATENATE("E",A50)</f>
        <v>E46</v>
      </c>
      <c r="O50" s="6"/>
      <c r="P50" s="6"/>
      <c r="Q50" s="6"/>
      <c r="R50" s="6"/>
      <c r="S50" s="6" t="str">
        <f t="shared" si="4"/>
        <v>A46_2</v>
      </c>
      <c r="T50" s="6"/>
      <c r="U50" s="6"/>
    </row>
    <row r="51" spans="1:23" ht="45" customHeight="1">
      <c r="A51" s="6">
        <v>47</v>
      </c>
      <c r="C51" s="15" t="s">
        <v>92</v>
      </c>
      <c r="D51" s="15" t="s">
        <v>93</v>
      </c>
      <c r="E51" s="6" t="s">
        <v>6</v>
      </c>
      <c r="F51" s="16" t="s">
        <v>148</v>
      </c>
      <c r="G51" s="52"/>
      <c r="H51" s="52"/>
      <c r="J51" s="6" t="str">
        <f t="shared" si="6"/>
        <v>A47_1</v>
      </c>
      <c r="K51" s="6" t="str">
        <f t="shared" si="5"/>
        <v>B47</v>
      </c>
      <c r="L51" s="6" t="str">
        <f t="shared" si="7"/>
        <v>C47</v>
      </c>
      <c r="M51" s="6" t="str">
        <f>CONCATENATE("D",A51)</f>
        <v>D47</v>
      </c>
      <c r="N51" s="6" t="str">
        <f>CONCATENATE("E",A51)</f>
        <v>E47</v>
      </c>
      <c r="O51" s="6"/>
      <c r="P51" s="6"/>
      <c r="Q51" s="6"/>
      <c r="R51" s="6"/>
      <c r="S51" s="6" t="str">
        <f t="shared" si="4"/>
        <v>A47_2</v>
      </c>
      <c r="T51" s="6"/>
      <c r="U51" s="6"/>
    </row>
    <row r="52" spans="1:23" ht="49.5" customHeight="1">
      <c r="A52" s="7">
        <v>48</v>
      </c>
      <c r="B52" s="3"/>
      <c r="C52" s="14" t="s">
        <v>92</v>
      </c>
      <c r="D52" s="14" t="s">
        <v>78</v>
      </c>
      <c r="E52" s="7" t="s">
        <v>5</v>
      </c>
      <c r="F52" s="14" t="s">
        <v>155</v>
      </c>
      <c r="G52" s="53"/>
      <c r="H52" s="53"/>
      <c r="J52" s="6" t="str">
        <f t="shared" si="6"/>
        <v>A48_1</v>
      </c>
      <c r="K52" s="6" t="str">
        <f t="shared" si="5"/>
        <v>B48</v>
      </c>
      <c r="L52" s="6" t="str">
        <f t="shared" si="7"/>
        <v>C48</v>
      </c>
      <c r="M52" s="6" t="str">
        <f>CONCATENATE("D",A52)</f>
        <v>D48</v>
      </c>
      <c r="N52" s="6" t="str">
        <f>CONCATENATE("E",A52)</f>
        <v>E48</v>
      </c>
      <c r="O52" s="6"/>
      <c r="P52" s="6"/>
      <c r="Q52" s="6"/>
      <c r="R52" s="6"/>
      <c r="S52" s="6" t="str">
        <f t="shared" si="4"/>
        <v>A48_2</v>
      </c>
      <c r="T52" s="6"/>
      <c r="U52" s="6"/>
    </row>
    <row r="53" spans="1:23" ht="75" customHeight="1">
      <c r="A53" s="9">
        <v>49</v>
      </c>
      <c r="B53" s="5"/>
      <c r="C53" s="16" t="s">
        <v>95</v>
      </c>
      <c r="D53" s="16" t="s">
        <v>130</v>
      </c>
      <c r="E53" s="9" t="s">
        <v>5</v>
      </c>
      <c r="F53" s="16" t="s">
        <v>156</v>
      </c>
      <c r="G53" s="52" t="s">
        <v>11</v>
      </c>
      <c r="H53" s="52"/>
      <c r="J53" s="6" t="str">
        <f t="shared" si="6"/>
        <v>A49_1</v>
      </c>
      <c r="K53" s="6" t="str">
        <f t="shared" si="5"/>
        <v>B49</v>
      </c>
      <c r="L53" s="6" t="str">
        <f t="shared" si="7"/>
        <v>C49</v>
      </c>
      <c r="M53" s="6" t="str">
        <f>CONCATENATE("D",A53)</f>
        <v>D49</v>
      </c>
      <c r="N53" s="6" t="str">
        <f>CONCATENATE("E",A53)</f>
        <v>E49</v>
      </c>
      <c r="O53" s="6" t="str">
        <f>CONCATENATE("F",A53)</f>
        <v>F49</v>
      </c>
      <c r="P53" s="6" t="str">
        <f>CONCATENATE("G",A53)</f>
        <v>G49</v>
      </c>
      <c r="Q53" s="6" t="str">
        <f>CONCATENATE("H",A53)</f>
        <v>H49</v>
      </c>
      <c r="R53" s="6" t="str">
        <f>CONCATENATE("I",A53)</f>
        <v>I49</v>
      </c>
      <c r="S53" s="6" t="str">
        <f t="shared" si="4"/>
        <v>A49_2</v>
      </c>
      <c r="T53" s="6" t="str">
        <f>CONCATENATE("A",A53,"_3")</f>
        <v>A49_3</v>
      </c>
      <c r="U53" s="6"/>
    </row>
    <row r="54" spans="1:23" ht="75" customHeight="1" thickBot="1">
      <c r="A54" s="18">
        <v>50</v>
      </c>
      <c r="B54" s="19"/>
      <c r="C54" s="20" t="s">
        <v>94</v>
      </c>
      <c r="D54" s="20" t="s">
        <v>131</v>
      </c>
      <c r="E54" s="18" t="s">
        <v>5</v>
      </c>
      <c r="F54" s="20" t="s">
        <v>159</v>
      </c>
      <c r="G54" s="72"/>
      <c r="H54" s="72"/>
      <c r="J54" s="6" t="str">
        <f t="shared" si="6"/>
        <v>A50_1</v>
      </c>
      <c r="K54" s="6" t="str">
        <f t="shared" si="5"/>
        <v>B50</v>
      </c>
      <c r="L54" s="6" t="str">
        <f t="shared" si="7"/>
        <v>C50</v>
      </c>
      <c r="M54" s="6" t="str">
        <f>CONCATENATE("D",A54)</f>
        <v>D50</v>
      </c>
      <c r="N54" s="6" t="str">
        <f>CONCATENATE("E",A54)</f>
        <v>E50</v>
      </c>
      <c r="O54" s="6" t="str">
        <f>CONCATENATE("F",A54)</f>
        <v>F50</v>
      </c>
      <c r="P54" s="6" t="str">
        <f>CONCATENATE("G",A54)</f>
        <v>G50</v>
      </c>
      <c r="Q54" s="6" t="str">
        <f>CONCATENATE("H",A54)</f>
        <v>H50</v>
      </c>
      <c r="R54" s="6"/>
      <c r="S54" s="6" t="str">
        <f t="shared" si="4"/>
        <v>A50_2</v>
      </c>
      <c r="T54" s="6" t="str">
        <f>CONCATENATE("A",A54,"_3")</f>
        <v>A50_3</v>
      </c>
      <c r="U54" s="6" t="str">
        <f>CONCATENATE("A",A54,"_4")</f>
        <v>A50_4</v>
      </c>
    </row>
    <row r="55" spans="1:23">
      <c r="S55" s="6"/>
    </row>
    <row r="56" spans="1:23">
      <c r="J56" s="59" t="s">
        <v>96</v>
      </c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</row>
    <row r="57" spans="1:23">
      <c r="K57" s="6"/>
      <c r="L57" s="15"/>
      <c r="S57" s="6"/>
      <c r="V57" s="46"/>
    </row>
    <row r="58" spans="1:23">
      <c r="K58" s="21"/>
    </row>
    <row r="59" spans="1:23">
      <c r="K59" s="54" t="s">
        <v>110</v>
      </c>
      <c r="L59" s="54"/>
      <c r="M59" s="54"/>
      <c r="N59" s="54"/>
      <c r="O59" s="54"/>
      <c r="P59" s="54"/>
      <c r="Q59" s="54"/>
      <c r="R59" s="54"/>
      <c r="S59" s="54"/>
      <c r="T59" s="22">
        <f>COUNTIF(J5:U54,"B*")</f>
        <v>44</v>
      </c>
    </row>
    <row r="60" spans="1:23">
      <c r="K60" s="58" t="s">
        <v>111</v>
      </c>
      <c r="L60" s="58"/>
      <c r="M60" s="58"/>
      <c r="N60" s="58"/>
      <c r="O60" s="58"/>
      <c r="P60" s="58"/>
      <c r="Q60" s="58"/>
      <c r="R60" s="58"/>
      <c r="S60" s="58"/>
      <c r="T60" s="22">
        <f>COUNTIF(J5:U54,"C*")</f>
        <v>33</v>
      </c>
    </row>
    <row r="61" spans="1:23">
      <c r="K61" s="58" t="s">
        <v>112</v>
      </c>
      <c r="L61" s="58"/>
      <c r="M61" s="58"/>
      <c r="N61" s="58"/>
      <c r="O61" s="58"/>
      <c r="P61" s="58"/>
      <c r="Q61" s="58"/>
      <c r="R61" s="58"/>
      <c r="S61" s="58"/>
      <c r="T61" s="22">
        <f>COUNTIF(J5:U54,"G*")</f>
        <v>3</v>
      </c>
    </row>
    <row r="62" spans="1:23">
      <c r="K62" s="54" t="s">
        <v>113</v>
      </c>
      <c r="L62" s="54"/>
      <c r="M62" s="54"/>
      <c r="N62" s="54"/>
      <c r="O62" s="54"/>
      <c r="P62" s="54"/>
      <c r="Q62" s="54"/>
      <c r="R62" s="54"/>
      <c r="S62" s="54"/>
      <c r="T62" s="22">
        <f>COUNTIF(J5:U54,"B*")+COUNTIF(J5:U54,"C*")</f>
        <v>77</v>
      </c>
    </row>
    <row r="63" spans="1:23">
      <c r="K63" s="54" t="s">
        <v>114</v>
      </c>
      <c r="L63" s="54"/>
      <c r="M63" s="54"/>
      <c r="N63" s="54"/>
      <c r="O63" s="54"/>
      <c r="P63" s="54"/>
      <c r="Q63" s="54"/>
      <c r="R63" s="54"/>
      <c r="S63" s="54"/>
      <c r="T63" s="22">
        <f>COUNTIFS(J5:U54,"B*",J5:U54,"?2*")+COUNTIFS(J5:U54,"B*",J5:U54,"?3*")</f>
        <v>18</v>
      </c>
      <c r="W63" s="46"/>
    </row>
    <row r="64" spans="1:23">
      <c r="K64" s="54" t="s">
        <v>115</v>
      </c>
      <c r="L64" s="54"/>
      <c r="M64" s="54"/>
      <c r="N64" s="54"/>
      <c r="O64" s="54"/>
      <c r="P64" s="54"/>
      <c r="Q64" s="54"/>
      <c r="R64" s="54"/>
      <c r="S64" s="54"/>
      <c r="T64" s="22">
        <f>COUNTIFS(J5:U54,"B*",J5:U54,"?1*")+COUNTIFS(J5:U54,"B*",J5:U54,"?2*")+COUNTIFS(J5:U54,"B*",J5:U54,"?3*")+COUNTIFS(J5:U54,"C*",J5:U54,"?1*")+COUNTIFS(J5:U54,"C*",J5:U54,"?2*")+COUNTIFS(J5:U54,"C*",J5:U54,"?3*")</f>
        <v>46</v>
      </c>
    </row>
    <row r="65" spans="11:22">
      <c r="K65" s="54" t="s">
        <v>116</v>
      </c>
      <c r="L65" s="54"/>
      <c r="M65" s="54"/>
      <c r="N65" s="54"/>
      <c r="O65" s="54"/>
      <c r="P65" s="54"/>
      <c r="Q65" s="54"/>
      <c r="R65" s="54"/>
      <c r="S65" s="54"/>
      <c r="T65" s="22">
        <f>COUNTIFS(J5:U54,"B*",J5:U54,"?1*",J5:U54,"??0*")+COUNTIFS(J5:U54,"B*",J5:U54,"?2*",J5:U54,"??0*")+COUNTIFS(J5:U54,"B*",J5:U54,"?3*",J5:U54,"??0*")+COUNTIFS(J5:U54,"C*",J5:U54,"?1*",J5:U54,"??0*")+COUNTIFS(J5:U54,"C*",J5:U54,"?2*",J5:U54,"??0*")+COUNTIFS(J5:U54,"C*",J5:U54,"?3*",J5:U54,"??0*")</f>
        <v>4</v>
      </c>
      <c r="V65" s="46"/>
    </row>
    <row r="66" spans="11:22">
      <c r="K66" s="54" t="s">
        <v>187</v>
      </c>
      <c r="L66" s="54"/>
      <c r="M66" s="54"/>
      <c r="N66" s="54"/>
      <c r="O66" s="54"/>
      <c r="P66" s="54"/>
      <c r="Q66" s="54"/>
      <c r="R66" s="54"/>
      <c r="S66" s="54"/>
      <c r="T66" s="22">
        <f>COUNTIF(J5:U54,"*5*")</f>
        <v>29</v>
      </c>
      <c r="U66" s="46"/>
    </row>
    <row r="67" spans="11:22">
      <c r="K67" s="54" t="s">
        <v>185</v>
      </c>
      <c r="L67" s="54"/>
      <c r="M67" s="54"/>
      <c r="N67" s="54"/>
      <c r="O67" s="54"/>
      <c r="P67" s="54"/>
      <c r="Q67" s="54"/>
      <c r="R67" s="54"/>
      <c r="S67" s="54"/>
      <c r="T67" s="23">
        <f>COUNTIFS(J5:U54,"B*",J5:U54,"*5*")</f>
        <v>6</v>
      </c>
      <c r="U67" s="46"/>
    </row>
    <row r="68" spans="11:22">
      <c r="K68" s="54" t="s">
        <v>186</v>
      </c>
      <c r="L68" s="54"/>
      <c r="M68" s="54"/>
      <c r="N68" s="54"/>
      <c r="O68" s="54"/>
      <c r="P68" s="54"/>
      <c r="Q68" s="54"/>
      <c r="R68" s="54"/>
      <c r="S68" s="54"/>
      <c r="T68" s="23">
        <v>67</v>
      </c>
      <c r="U68" s="46"/>
      <c r="V68" s="48"/>
    </row>
    <row r="69" spans="11:22">
      <c r="K69" s="21"/>
      <c r="T69" s="23"/>
    </row>
    <row r="70" spans="11:22">
      <c r="K70" s="21"/>
      <c r="T70" s="23"/>
    </row>
    <row r="71" spans="11:22">
      <c r="K71" s="21"/>
      <c r="T71" s="23"/>
    </row>
    <row r="72" spans="11:22">
      <c r="K72" s="21"/>
      <c r="T72" s="23"/>
    </row>
    <row r="73" spans="11:22">
      <c r="K73" s="21"/>
      <c r="T73" s="23"/>
    </row>
    <row r="74" spans="11:22">
      <c r="K74" s="21"/>
      <c r="T74" s="23"/>
    </row>
    <row r="75" spans="11:22">
      <c r="K75" s="21"/>
      <c r="T75" s="23"/>
    </row>
    <row r="76" spans="11:22">
      <c r="K76" s="21"/>
      <c r="T76" s="23"/>
    </row>
    <row r="77" spans="11:22">
      <c r="K77" s="21"/>
      <c r="T77" s="23"/>
    </row>
    <row r="78" spans="11:22">
      <c r="K78" s="21"/>
      <c r="T78" s="23"/>
    </row>
    <row r="79" spans="11:22">
      <c r="K79" s="21"/>
      <c r="T79" s="23"/>
    </row>
  </sheetData>
  <mergeCells count="55">
    <mergeCell ref="G7:G13"/>
    <mergeCell ref="G14:G20"/>
    <mergeCell ref="K63:S63"/>
    <mergeCell ref="K64:S64"/>
    <mergeCell ref="K65:S65"/>
    <mergeCell ref="K62:S62"/>
    <mergeCell ref="G53:H54"/>
    <mergeCell ref="G21:G24"/>
    <mergeCell ref="G25:G28"/>
    <mergeCell ref="H25:H39"/>
    <mergeCell ref="G36:G37"/>
    <mergeCell ref="G38:G39"/>
    <mergeCell ref="G29:G35"/>
    <mergeCell ref="H4:H24"/>
    <mergeCell ref="X1:AA1"/>
    <mergeCell ref="AA4:AA6"/>
    <mergeCell ref="AA7:AA11"/>
    <mergeCell ref="Z22:Z23"/>
    <mergeCell ref="Z12:Z13"/>
    <mergeCell ref="Z14:Z15"/>
    <mergeCell ref="Z16:Z17"/>
    <mergeCell ref="Z18:Z19"/>
    <mergeCell ref="Z20:Z21"/>
    <mergeCell ref="AA12:AA13"/>
    <mergeCell ref="AA14:AA23"/>
    <mergeCell ref="Y22:Y23"/>
    <mergeCell ref="X22:X23"/>
    <mergeCell ref="X12:X13"/>
    <mergeCell ref="X14:X15"/>
    <mergeCell ref="X16:X17"/>
    <mergeCell ref="X18:X19"/>
    <mergeCell ref="X20:X21"/>
    <mergeCell ref="Y12:Y13"/>
    <mergeCell ref="Y14:Y15"/>
    <mergeCell ref="Y16:Y17"/>
    <mergeCell ref="Y18:Y19"/>
    <mergeCell ref="Y20:Y21"/>
    <mergeCell ref="H40:H52"/>
    <mergeCell ref="G40:G42"/>
    <mergeCell ref="G43:G49"/>
    <mergeCell ref="G50:G52"/>
    <mergeCell ref="K61:S61"/>
    <mergeCell ref="K60:S60"/>
    <mergeCell ref="J56:U56"/>
    <mergeCell ref="K59:S59"/>
    <mergeCell ref="G3:H3"/>
    <mergeCell ref="A1:H1"/>
    <mergeCell ref="G4:G6"/>
    <mergeCell ref="J3:U3"/>
    <mergeCell ref="I1:V1"/>
    <mergeCell ref="X25:AA25"/>
    <mergeCell ref="AA27:AA29"/>
    <mergeCell ref="K68:S68"/>
    <mergeCell ref="K66:S66"/>
    <mergeCell ref="K67:S67"/>
  </mergeCells>
  <pageMargins left="0.47244094488188981" right="0.35433070866141736" top="0.59055118110236227" bottom="0.59055118110236227" header="0.31496062992125984" footer="0.31496062992125984"/>
  <pageSetup paperSize="9" orientation="portrait" r:id="rId1"/>
  <headerFooter differentFirst="1">
    <oddFooter>&amp;L&amp;D&amp;R&amp;P/&amp;N</oddFooter>
    <firstFooter>&amp;L&amp;D&amp;R&amp;P/&amp;N</first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/>
  </sheetViews>
  <sheetFormatPr baseColWidth="10" defaultRowHeight="15"/>
  <sheetData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5"/>
  <sheetData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2010-03-29T10:29:36Z</dcterms:modified>
</cp:coreProperties>
</file>